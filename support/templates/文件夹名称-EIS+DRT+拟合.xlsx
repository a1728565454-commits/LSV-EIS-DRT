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285\Desktop\"/>
    </mc:Choice>
  </mc:AlternateContent>
  <xr:revisionPtr revIDLastSave="0" documentId="13_ncr:1_{03BCFCC4-533F-4ABA-84BB-708F77A50D41}" xr6:coauthVersionLast="47" xr6:coauthVersionMax="47" xr10:uidLastSave="{00000000-0000-0000-0000-000000000000}"/>
  <bookViews>
    <workbookView xWindow="2640" yWindow="2310" windowWidth="21600" windowHeight="11295" tabRatio="872" activeTab="2" xr2:uid="{00000000-000D-0000-FFFF-FFFF00000000}"/>
  </bookViews>
  <sheets>
    <sheet name="RΩ汇总" sheetId="7" r:id="rId1"/>
    <sheet name="Rp汇总" sheetId="8" r:id="rId2"/>
    <sheet name="DRT汇总" sheetId="9" r:id="rId3"/>
    <sheet name=".txt的名称" sheetId="1" r:id="rId4"/>
    <sheet name="1A-600-EIS-1（举例）" sheetId="2" r:id="rId5"/>
    <sheet name="1A-600-EIS-2（举例）" sheetId="3" r:id="rId6"/>
    <sheet name="1A-650-EIS-1（举例）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8" l="1" a="1"/>
  <c r="P1" i="8" s="1"/>
  <c r="L1" i="8" a="1"/>
  <c r="L1" i="8" s="1"/>
  <c r="B1" i="8" a="1"/>
  <c r="B1" i="8" s="1"/>
  <c r="G3" i="8" a="1"/>
  <c r="G3" i="8" s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3" i="8"/>
  <c r="O4" i="8" a="1"/>
  <c r="O4" i="8" s="1"/>
  <c r="O5" i="8" a="1"/>
  <c r="O5" i="8" s="1"/>
  <c r="O6" i="8" a="1"/>
  <c r="O6" i="8" s="1"/>
  <c r="O7" i="8" a="1"/>
  <c r="O7" i="8" s="1"/>
  <c r="O8" i="8" a="1"/>
  <c r="O8" i="8" s="1"/>
  <c r="O9" i="8" a="1"/>
  <c r="O9" i="8" s="1"/>
  <c r="O10" i="8" a="1"/>
  <c r="O10" i="8" s="1"/>
  <c r="O11" i="8" a="1"/>
  <c r="O11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N1" i="8" a="1"/>
  <c r="N1" i="8" s="1"/>
  <c r="J1" i="8" a="1"/>
  <c r="J1" i="8" s="1"/>
  <c r="F1" i="8" a="1"/>
  <c r="F1" i="8" s="1"/>
  <c r="K4" i="8" a="1"/>
  <c r="K4" i="8" s="1"/>
  <c r="K5" i="8" a="1"/>
  <c r="K5" i="8" s="1"/>
  <c r="K6" i="8" a="1"/>
  <c r="K6" i="8" s="1"/>
  <c r="K7" i="8" a="1"/>
  <c r="K7" i="8" s="1"/>
  <c r="K8" i="8" a="1"/>
  <c r="K8" i="8" s="1"/>
  <c r="K9" i="8" a="1"/>
  <c r="K9" i="8" s="1"/>
  <c r="K10" i="8" a="1"/>
  <c r="K10" i="8" s="1"/>
  <c r="K11" i="8" a="1"/>
  <c r="K11" i="8" s="1"/>
  <c r="K12" i="8" a="1"/>
  <c r="K12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 s="1"/>
  <c r="K29" i="8" a="1"/>
  <c r="K29" i="8" s="1"/>
  <c r="K30" i="8" a="1"/>
  <c r="K30" i="8" s="1"/>
  <c r="K31" i="8" a="1"/>
  <c r="K31" i="8" s="1"/>
  <c r="K32" i="8" a="1"/>
  <c r="K32" i="8" s="1"/>
  <c r="K33" i="8" a="1"/>
  <c r="K33" i="8" s="1"/>
  <c r="K34" i="8" a="1"/>
  <c r="K34" i="8" s="1"/>
  <c r="K35" i="8" a="1"/>
  <c r="K35" i="8"/>
  <c r="K36" i="8" a="1"/>
  <c r="K36" i="8" s="1"/>
  <c r="K37" i="8" a="1"/>
  <c r="K37" i="8" s="1"/>
  <c r="K38" i="8" a="1"/>
  <c r="K38" i="8" s="1"/>
  <c r="K39" i="8" a="1"/>
  <c r="K39" i="8" s="1"/>
  <c r="K40" i="8" a="1"/>
  <c r="K40" i="8" s="1"/>
  <c r="K41" i="8" a="1"/>
  <c r="K41" i="8" s="1"/>
  <c r="K42" i="8" a="1"/>
  <c r="K42" i="8" s="1"/>
  <c r="K43" i="8" a="1"/>
  <c r="K43" i="8" s="1"/>
  <c r="K44" i="8" a="1"/>
  <c r="K44" i="8" s="1"/>
  <c r="K45" i="8" a="1"/>
  <c r="K45" i="8" s="1"/>
  <c r="K46" i="8" a="1"/>
  <c r="K46" i="8" s="1"/>
  <c r="K47" i="8" a="1"/>
  <c r="K47" i="8" s="1"/>
  <c r="K48" i="8" a="1"/>
  <c r="K48" i="8" s="1"/>
  <c r="K49" i="8" a="1"/>
  <c r="K49" i="8" s="1"/>
  <c r="K50" i="8" a="1"/>
  <c r="K50" i="8" s="1"/>
  <c r="K51" i="8" a="1"/>
  <c r="K51" i="8" s="1"/>
  <c r="K52" i="8" a="1"/>
  <c r="K52" i="8" s="1"/>
  <c r="K53" i="8" a="1"/>
  <c r="K53" i="8" s="1"/>
  <c r="K54" i="8" a="1"/>
  <c r="K54" i="8" s="1"/>
  <c r="K55" i="8" a="1"/>
  <c r="K55" i="8" s="1"/>
  <c r="K56" i="8" a="1"/>
  <c r="K56" i="8" s="1"/>
  <c r="K57" i="8" a="1"/>
  <c r="K57" i="8" s="1"/>
  <c r="K58" i="8" a="1"/>
  <c r="K58" i="8" s="1"/>
  <c r="K59" i="8" a="1"/>
  <c r="K59" i="8" s="1"/>
  <c r="K60" i="8" a="1"/>
  <c r="K60" i="8" s="1"/>
  <c r="K61" i="8" a="1"/>
  <c r="K61" i="8" s="1"/>
  <c r="K62" i="8" a="1"/>
  <c r="K62" i="8" s="1"/>
  <c r="K63" i="8" a="1"/>
  <c r="K63" i="8" s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3" i="8"/>
  <c r="G4" i="8" a="1"/>
  <c r="G4" i="8"/>
  <c r="G5" i="8" a="1"/>
  <c r="G5" i="8"/>
  <c r="G6" i="8" a="1"/>
  <c r="G6" i="8"/>
  <c r="G7" i="8" a="1"/>
  <c r="G7" i="8"/>
  <c r="G8" i="8" a="1"/>
  <c r="G8" i="8"/>
  <c r="G9" i="8" a="1"/>
  <c r="G9" i="8"/>
  <c r="G10" i="8" a="1"/>
  <c r="G10" i="8"/>
  <c r="G11" i="8" a="1"/>
  <c r="G11" i="8"/>
  <c r="G12" i="8" a="1"/>
  <c r="G12" i="8"/>
  <c r="G13" i="8" a="1"/>
  <c r="G13" i="8"/>
  <c r="G14" i="8" a="1"/>
  <c r="G14" i="8"/>
  <c r="G15" i="8" a="1"/>
  <c r="G15" i="8"/>
  <c r="G16" i="8" a="1"/>
  <c r="G16" i="8"/>
  <c r="G17" i="8" a="1"/>
  <c r="G17" i="8"/>
  <c r="G18" i="8" a="1"/>
  <c r="G18" i="8"/>
  <c r="G19" i="8" a="1"/>
  <c r="G19" i="8"/>
  <c r="G20" i="8" a="1"/>
  <c r="G20" i="8"/>
  <c r="G21" i="8" a="1"/>
  <c r="G21" i="8"/>
  <c r="G22" i="8" a="1"/>
  <c r="G22" i="8"/>
  <c r="G23" i="8" a="1"/>
  <c r="G23" i="8"/>
  <c r="G24" i="8" a="1"/>
  <c r="G24" i="8"/>
  <c r="G25" i="8" a="1"/>
  <c r="G25" i="8"/>
  <c r="G26" i="8" a="1"/>
  <c r="G26" i="8"/>
  <c r="G27" i="8" a="1"/>
  <c r="G27" i="8"/>
  <c r="G28" i="8" a="1"/>
  <c r="G28" i="8"/>
  <c r="G29" i="8" a="1"/>
  <c r="G29" i="8"/>
  <c r="G30" i="8" a="1"/>
  <c r="G30" i="8"/>
  <c r="G31" i="8" a="1"/>
  <c r="G31" i="8"/>
  <c r="G32" i="8" a="1"/>
  <c r="G32" i="8"/>
  <c r="G33" i="8" a="1"/>
  <c r="G33" i="8"/>
  <c r="G34" i="8" a="1"/>
  <c r="G34" i="8" s="1"/>
  <c r="G35" i="8" a="1"/>
  <c r="G35" i="8" s="1"/>
  <c r="G36" i="8" a="1"/>
  <c r="G36" i="8" s="1"/>
  <c r="G37" i="8" a="1"/>
  <c r="G37" i="8" s="1"/>
  <c r="G38" i="8" a="1"/>
  <c r="G38" i="8" s="1"/>
  <c r="G39" i="8" a="1"/>
  <c r="G39" i="8" s="1"/>
  <c r="G40" i="8" a="1"/>
  <c r="G40" i="8" s="1"/>
  <c r="G41" i="8" a="1"/>
  <c r="G41" i="8" s="1"/>
  <c r="G42" i="8" a="1"/>
  <c r="G42" i="8" s="1"/>
  <c r="G43" i="8" a="1"/>
  <c r="G43" i="8" s="1"/>
  <c r="G44" i="8" a="1"/>
  <c r="G44" i="8" s="1"/>
  <c r="G45" i="8" a="1"/>
  <c r="G45" i="8" s="1"/>
  <c r="G46" i="8" a="1"/>
  <c r="G46" i="8" s="1"/>
  <c r="G47" i="8" a="1"/>
  <c r="G47" i="8" s="1"/>
  <c r="G48" i="8" a="1"/>
  <c r="G48" i="8" s="1"/>
  <c r="G49" i="8" a="1"/>
  <c r="G49" i="8" s="1"/>
  <c r="G50" i="8" a="1"/>
  <c r="G50" i="8" s="1"/>
  <c r="G51" i="8" a="1"/>
  <c r="G51" i="8" s="1"/>
  <c r="G52" i="8" a="1"/>
  <c r="G52" i="8" s="1"/>
  <c r="G53" i="8" a="1"/>
  <c r="G53" i="8" s="1"/>
  <c r="G54" i="8" a="1"/>
  <c r="G54" i="8"/>
  <c r="G55" i="8" a="1"/>
  <c r="G55" i="8"/>
  <c r="G56" i="8" a="1"/>
  <c r="G56" i="8" s="1"/>
  <c r="G57" i="8" a="1"/>
  <c r="G57" i="8" s="1"/>
  <c r="G58" i="8" a="1"/>
  <c r="G58" i="8" s="1"/>
  <c r="G59" i="8" a="1"/>
  <c r="G59" i="8" s="1"/>
  <c r="G60" i="8" a="1"/>
  <c r="G60" i="8" s="1"/>
  <c r="G61" i="8" a="1"/>
  <c r="G61" i="8" s="1"/>
  <c r="G62" i="8" a="1"/>
  <c r="G62" i="8" s="1"/>
  <c r="G63" i="8" a="1"/>
  <c r="G63" i="8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3" i="8"/>
  <c r="C4" i="8" a="1"/>
  <c r="C4" i="8" s="1"/>
  <c r="C5" i="8" a="1"/>
  <c r="C5" i="8" s="1"/>
  <c r="C6" i="8" a="1"/>
  <c r="C6" i="8" s="1"/>
  <c r="C7" i="8" a="1"/>
  <c r="C7" i="8" s="1"/>
  <c r="C8" i="8" a="1"/>
  <c r="C8" i="8" s="1"/>
  <c r="C9" i="8" a="1"/>
  <c r="C9" i="8" s="1"/>
  <c r="C10" i="8" a="1"/>
  <c r="C10" i="8" s="1"/>
  <c r="C11" i="8" a="1"/>
  <c r="C11" i="8" s="1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17" i="8" a="1"/>
  <c r="C17" i="8" s="1"/>
  <c r="C18" i="8" a="1"/>
  <c r="C18" i="8" s="1"/>
  <c r="C19" i="8" a="1"/>
  <c r="C19" i="8" s="1"/>
  <c r="C20" i="8" a="1"/>
  <c r="C20" i="8" s="1"/>
  <c r="C21" i="8" a="1"/>
  <c r="C21" i="8" s="1"/>
  <c r="C22" i="8" a="1"/>
  <c r="C22" i="8" s="1"/>
  <c r="C23" i="8" a="1"/>
  <c r="C23" i="8" s="1"/>
  <c r="C24" i="8" a="1"/>
  <c r="C24" i="8" s="1"/>
  <c r="C25" i="8" a="1"/>
  <c r="C25" i="8" s="1"/>
  <c r="C26" i="8" a="1"/>
  <c r="C26" i="8" s="1"/>
  <c r="C27" i="8" a="1"/>
  <c r="C27" i="8" s="1"/>
  <c r="C28" i="8" a="1"/>
  <c r="C28" i="8" s="1"/>
  <c r="C29" i="8" a="1"/>
  <c r="C29" i="8" s="1"/>
  <c r="C30" i="8" a="1"/>
  <c r="C30" i="8" s="1"/>
  <c r="C31" i="8" a="1"/>
  <c r="C31" i="8" s="1"/>
  <c r="C32" i="8" a="1"/>
  <c r="C32" i="8" s="1"/>
  <c r="C33" i="8" a="1"/>
  <c r="C33" i="8" s="1"/>
  <c r="C34" i="8" a="1"/>
  <c r="C34" i="8" s="1"/>
  <c r="C35" i="8" a="1"/>
  <c r="C35" i="8" s="1"/>
  <c r="C36" i="8" a="1"/>
  <c r="C36" i="8" s="1"/>
  <c r="C37" i="8" a="1"/>
  <c r="C37" i="8" s="1"/>
  <c r="C38" i="8" a="1"/>
  <c r="C38" i="8" s="1"/>
  <c r="C39" i="8" a="1"/>
  <c r="C39" i="8" s="1"/>
  <c r="C40" i="8" a="1"/>
  <c r="C40" i="8" s="1"/>
  <c r="C41" i="8" a="1"/>
  <c r="C41" i="8" s="1"/>
  <c r="C42" i="8" a="1"/>
  <c r="C42" i="8" s="1"/>
  <c r="C43" i="8" a="1"/>
  <c r="C43" i="8" s="1"/>
  <c r="C44" i="8" a="1"/>
  <c r="C44" i="8" s="1"/>
  <c r="C45" i="8" a="1"/>
  <c r="C45" i="8" s="1"/>
  <c r="C46" i="8" a="1"/>
  <c r="C46" i="8" s="1"/>
  <c r="C47" i="8" a="1"/>
  <c r="C47" i="8" s="1"/>
  <c r="C48" i="8" a="1"/>
  <c r="C48" i="8" s="1"/>
  <c r="C49" i="8" a="1"/>
  <c r="C49" i="8" s="1"/>
  <c r="C50" i="8" a="1"/>
  <c r="C50" i="8" s="1"/>
  <c r="C51" i="8" a="1"/>
  <c r="C51" i="8" s="1"/>
  <c r="C52" i="8" a="1"/>
  <c r="C52" i="8" s="1"/>
  <c r="C53" i="8" a="1"/>
  <c r="C53" i="8" s="1"/>
  <c r="C54" i="8" a="1"/>
  <c r="C54" i="8" s="1"/>
  <c r="C55" i="8" a="1"/>
  <c r="C55" i="8" s="1"/>
  <c r="C56" i="8" a="1"/>
  <c r="C56" i="8" s="1"/>
  <c r="C57" i="8" a="1"/>
  <c r="C57" i="8" s="1"/>
  <c r="C58" i="8" a="1"/>
  <c r="C58" i="8" s="1"/>
  <c r="C59" i="8" a="1"/>
  <c r="C59" i="8" s="1"/>
  <c r="C60" i="8" a="1"/>
  <c r="C60" i="8" s="1"/>
  <c r="C61" i="8" a="1"/>
  <c r="C61" i="8" s="1"/>
  <c r="C62" i="8" a="1"/>
  <c r="C62" i="8" s="1"/>
  <c r="C63" i="8" a="1"/>
  <c r="C63" i="8"/>
  <c r="O3" i="8" a="1"/>
  <c r="O3" i="8" s="1"/>
  <c r="K3" i="8" a="1"/>
  <c r="K3" i="8" s="1"/>
  <c r="C3" i="8" a="1"/>
  <c r="C3" i="8" s="1"/>
  <c r="A3" i="8" a="1"/>
  <c r="A3" i="8" s="1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N2" i="7"/>
  <c r="J2" i="7"/>
  <c r="F2" i="7"/>
  <c r="B2" i="7"/>
  <c r="M2" i="7"/>
  <c r="M3" i="8" s="1" a="1"/>
  <c r="M3" i="8" s="1"/>
  <c r="I2" i="7"/>
  <c r="I3" i="8" s="1" a="1"/>
  <c r="I3" i="8" s="1"/>
  <c r="E2" i="7"/>
  <c r="E3" i="8" s="1" a="1"/>
  <c r="E3" i="8" s="1"/>
  <c r="A2" i="7"/>
  <c r="M4" i="8" l="1" a="1"/>
  <c r="M4" i="8" s="1"/>
  <c r="M7" i="8" a="1"/>
  <c r="M7" i="8" s="1"/>
  <c r="M10" i="8" a="1"/>
  <c r="M10" i="8" s="1"/>
  <c r="M16" i="8" a="1"/>
  <c r="M16" i="8" s="1"/>
  <c r="M20" i="8" a="1"/>
  <c r="M20" i="8" s="1"/>
  <c r="M23" i="8" a="1"/>
  <c r="M23" i="8" s="1"/>
  <c r="M28" i="8" a="1"/>
  <c r="M28" i="8" s="1"/>
  <c r="M30" i="8" a="1"/>
  <c r="M30" i="8" s="1"/>
  <c r="M33" i="8" a="1"/>
  <c r="M33" i="8" s="1"/>
  <c r="M45" i="8" a="1"/>
  <c r="M45" i="8" s="1"/>
  <c r="M50" i="8" a="1"/>
  <c r="M50" i="8" s="1"/>
  <c r="M55" i="8" a="1"/>
  <c r="M55" i="8" s="1"/>
  <c r="I22" i="8" a="1"/>
  <c r="I22" i="8" s="1"/>
  <c r="I41" i="8" a="1"/>
  <c r="I41" i="8" s="1"/>
  <c r="I59" i="8" a="1"/>
  <c r="I59" i="8" s="1"/>
  <c r="E34" i="8" a="1"/>
  <c r="E34" i="8" s="1"/>
  <c r="A46" i="8" a="1"/>
  <c r="A46" i="8" s="1"/>
  <c r="M5" i="8" a="1"/>
  <c r="M5" i="8" s="1"/>
  <c r="M8" i="8" a="1"/>
  <c r="M8" i="8" s="1"/>
  <c r="M14" i="8" a="1"/>
  <c r="M14" i="8" s="1"/>
  <c r="M19" i="8" a="1"/>
  <c r="M19" i="8" s="1"/>
  <c r="M22" i="8" a="1"/>
  <c r="M22" i="8" s="1"/>
  <c r="M26" i="8" a="1"/>
  <c r="M26" i="8" s="1"/>
  <c r="M31" i="8" a="1"/>
  <c r="M31" i="8" s="1"/>
  <c r="M43" i="8" a="1"/>
  <c r="M43" i="8" s="1"/>
  <c r="M47" i="8" a="1"/>
  <c r="M47" i="8" s="1"/>
  <c r="M52" i="8" a="1"/>
  <c r="M52" i="8" s="1"/>
  <c r="M57" i="8" a="1"/>
  <c r="M57" i="8" s="1"/>
  <c r="I42" i="8" a="1"/>
  <c r="I42" i="8" s="1"/>
  <c r="E31" i="8" a="1"/>
  <c r="E31" i="8" s="1"/>
  <c r="A44" i="8" a="1"/>
  <c r="A44" i="8" s="1"/>
  <c r="M6" i="8" a="1"/>
  <c r="M6" i="8" s="1"/>
  <c r="M9" i="8" a="1"/>
  <c r="M9" i="8" s="1"/>
  <c r="M11" i="8" a="1"/>
  <c r="M11" i="8" s="1"/>
  <c r="M17" i="8" a="1"/>
  <c r="M17" i="8" s="1"/>
  <c r="M21" i="8" a="1"/>
  <c r="M21" i="8" s="1"/>
  <c r="M27" i="8" a="1"/>
  <c r="M27" i="8" s="1"/>
  <c r="M29" i="8" a="1"/>
  <c r="M29" i="8" s="1"/>
  <c r="M34" i="8" a="1"/>
  <c r="M34" i="8" s="1"/>
  <c r="M46" i="8" a="1"/>
  <c r="M46" i="8" s="1"/>
  <c r="M51" i="8" a="1"/>
  <c r="M51" i="8" s="1"/>
  <c r="M56" i="8" a="1"/>
  <c r="M56" i="8" s="1"/>
  <c r="I38" i="8" a="1"/>
  <c r="I38" i="8" s="1"/>
  <c r="I58" i="8" a="1"/>
  <c r="I58" i="8" s="1"/>
  <c r="E49" i="8" a="1"/>
  <c r="E49" i="8" s="1"/>
  <c r="M12" i="8" a="1"/>
  <c r="M12" i="8" s="1"/>
  <c r="M13" i="8" a="1"/>
  <c r="M13" i="8" s="1"/>
  <c r="M15" i="8" a="1"/>
  <c r="M15" i="8" s="1"/>
  <c r="M18" i="8" a="1"/>
  <c r="M18" i="8" s="1"/>
  <c r="M24" i="8" a="1"/>
  <c r="M24" i="8" s="1"/>
  <c r="M25" i="8" a="1"/>
  <c r="M25" i="8" s="1"/>
  <c r="M32" i="8" a="1"/>
  <c r="M32" i="8" s="1"/>
  <c r="M42" i="8" a="1"/>
  <c r="M42" i="8" s="1"/>
  <c r="M48" i="8" a="1"/>
  <c r="M48" i="8" s="1"/>
  <c r="M53" i="8" a="1"/>
  <c r="M53" i="8" s="1"/>
  <c r="I20" i="8" a="1"/>
  <c r="I20" i="8" s="1"/>
  <c r="I39" i="8" a="1"/>
  <c r="I39" i="8" s="1"/>
  <c r="I62" i="8" a="1"/>
  <c r="I62" i="8" s="1"/>
  <c r="E57" i="8" a="1"/>
  <c r="E57" i="8" s="1"/>
  <c r="M35" i="8" a="1"/>
  <c r="M35" i="8" s="1"/>
  <c r="M36" i="8" a="1"/>
  <c r="M36" i="8" s="1"/>
  <c r="M37" i="8" a="1"/>
  <c r="M37" i="8" s="1"/>
  <c r="M38" i="8" a="1"/>
  <c r="M38" i="8" s="1"/>
  <c r="M39" i="8" a="1"/>
  <c r="M39" i="8" s="1"/>
  <c r="M40" i="8" a="1"/>
  <c r="M40" i="8" s="1"/>
  <c r="M41" i="8" a="1"/>
  <c r="M41" i="8" s="1"/>
  <c r="M44" i="8" a="1"/>
  <c r="M44" i="8" s="1"/>
  <c r="M49" i="8" a="1"/>
  <c r="M49" i="8" s="1"/>
  <c r="M54" i="8" a="1"/>
  <c r="M54" i="8" s="1"/>
  <c r="I21" i="8" a="1"/>
  <c r="I21" i="8" s="1"/>
  <c r="I40" i="8" a="1"/>
  <c r="I40" i="8" s="1"/>
  <c r="I61" i="8" a="1"/>
  <c r="I61" i="8" s="1"/>
  <c r="E48" i="8" a="1"/>
  <c r="E48" i="8" s="1"/>
  <c r="M58" i="8" a="1"/>
  <c r="M58" i="8" s="1"/>
  <c r="M59" i="8" a="1"/>
  <c r="M59" i="8" s="1"/>
  <c r="M60" i="8" a="1"/>
  <c r="M60" i="8" s="1"/>
  <c r="M61" i="8" a="1"/>
  <c r="M61" i="8" s="1"/>
  <c r="M62" i="8" a="1"/>
  <c r="M62" i="8" s="1"/>
  <c r="M63" i="8" a="1"/>
  <c r="M63" i="8" s="1"/>
  <c r="I10" i="8" a="1"/>
  <c r="I10" i="8" s="1"/>
  <c r="I12" i="8" a="1"/>
  <c r="I12" i="8" s="1"/>
  <c r="I14" i="8" a="1"/>
  <c r="I14" i="8" s="1"/>
  <c r="I16" i="8" a="1"/>
  <c r="I16" i="8" s="1"/>
  <c r="I18" i="8" a="1"/>
  <c r="I18" i="8" s="1"/>
  <c r="I36" i="8" a="1"/>
  <c r="I36" i="8" s="1"/>
  <c r="I45" i="8" a="1"/>
  <c r="I45" i="8" s="1"/>
  <c r="E30" i="8" a="1"/>
  <c r="E30" i="8" s="1"/>
  <c r="E53" i="8" a="1"/>
  <c r="E53" i="8" s="1"/>
  <c r="I4" i="8" a="1"/>
  <c r="I4" i="8" s="1"/>
  <c r="I5" i="8" a="1"/>
  <c r="I5" i="8" s="1"/>
  <c r="I6" i="8" a="1"/>
  <c r="I6" i="8" s="1"/>
  <c r="I7" i="8" a="1"/>
  <c r="I7" i="8" s="1"/>
  <c r="I8" i="8" a="1"/>
  <c r="I8" i="8" s="1"/>
  <c r="I9" i="8" a="1"/>
  <c r="I9" i="8" s="1"/>
  <c r="I11" i="8" a="1"/>
  <c r="I11" i="8" s="1"/>
  <c r="I13" i="8" a="1"/>
  <c r="I13" i="8" s="1"/>
  <c r="I15" i="8" a="1"/>
  <c r="I15" i="8" s="1"/>
  <c r="I17" i="8" a="1"/>
  <c r="I17" i="8" s="1"/>
  <c r="I19" i="8" a="1"/>
  <c r="I19" i="8" s="1"/>
  <c r="I37" i="8" a="1"/>
  <c r="I37" i="8" s="1"/>
  <c r="I44" i="8" a="1"/>
  <c r="I44" i="8" s="1"/>
  <c r="E32" i="8" a="1"/>
  <c r="E32" i="8" s="1"/>
  <c r="E56" i="8" a="1"/>
  <c r="E56" i="8" s="1"/>
  <c r="I23" i="8" a="1"/>
  <c r="I23" i="8" s="1"/>
  <c r="I24" i="8" a="1"/>
  <c r="I24" i="8" s="1"/>
  <c r="I25" i="8" a="1"/>
  <c r="I25" i="8" s="1"/>
  <c r="I26" i="8" a="1"/>
  <c r="I26" i="8" s="1"/>
  <c r="I27" i="8" a="1"/>
  <c r="I27" i="8" s="1"/>
  <c r="I28" i="8" a="1"/>
  <c r="I28" i="8" s="1"/>
  <c r="I29" i="8" a="1"/>
  <c r="I29" i="8" s="1"/>
  <c r="I30" i="8" a="1"/>
  <c r="I30" i="8" s="1"/>
  <c r="I31" i="8" a="1"/>
  <c r="I31" i="8" s="1"/>
  <c r="I32" i="8" a="1"/>
  <c r="I32" i="8" s="1"/>
  <c r="I33" i="8" a="1"/>
  <c r="I33" i="8" s="1"/>
  <c r="I34" i="8" a="1"/>
  <c r="I34" i="8" s="1"/>
  <c r="I35" i="8" a="1"/>
  <c r="I35" i="8" s="1"/>
  <c r="I43" i="8" a="1"/>
  <c r="I43" i="8" s="1"/>
  <c r="I63" i="8" a="1"/>
  <c r="I63" i="8" s="1"/>
  <c r="E52" i="8" a="1"/>
  <c r="E52" i="8" s="1"/>
  <c r="I46" i="8" a="1"/>
  <c r="I46" i="8" s="1"/>
  <c r="I47" i="8" a="1"/>
  <c r="I47" i="8" s="1"/>
  <c r="I48" i="8" a="1"/>
  <c r="I48" i="8" s="1"/>
  <c r="I49" i="8" a="1"/>
  <c r="I49" i="8" s="1"/>
  <c r="I50" i="8" a="1"/>
  <c r="I50" i="8" s="1"/>
  <c r="I51" i="8" a="1"/>
  <c r="I51" i="8" s="1"/>
  <c r="I52" i="8" a="1"/>
  <c r="I52" i="8" s="1"/>
  <c r="I53" i="8" a="1"/>
  <c r="I53" i="8" s="1"/>
  <c r="I54" i="8" a="1"/>
  <c r="I54" i="8" s="1"/>
  <c r="I55" i="8" a="1"/>
  <c r="I55" i="8" s="1"/>
  <c r="I56" i="8" a="1"/>
  <c r="I56" i="8" s="1"/>
  <c r="I57" i="8" a="1"/>
  <c r="I57" i="8" s="1"/>
  <c r="I60" i="8" a="1"/>
  <c r="I60" i="8" s="1"/>
  <c r="E50" i="8" a="1"/>
  <c r="E50" i="8" s="1"/>
  <c r="E4" i="8" a="1"/>
  <c r="E4" i="8" s="1"/>
  <c r="E5" i="8" a="1"/>
  <c r="E5" i="8" s="1"/>
  <c r="E6" i="8" a="1"/>
  <c r="E6" i="8" s="1"/>
  <c r="E7" i="8" a="1"/>
  <c r="E7" i="8" s="1"/>
  <c r="E8" i="8" a="1"/>
  <c r="E8" i="8" s="1"/>
  <c r="E9" i="8" a="1"/>
  <c r="E9" i="8" s="1"/>
  <c r="E10" i="8" a="1"/>
  <c r="E10" i="8" s="1"/>
  <c r="E11" i="8" a="1"/>
  <c r="E11" i="8" s="1"/>
  <c r="E21" i="8" a="1"/>
  <c r="E21" i="8" s="1"/>
  <c r="E22" i="8" a="1"/>
  <c r="E22" i="8" s="1"/>
  <c r="E25" i="8" a="1"/>
  <c r="E25" i="8" s="1"/>
  <c r="E27" i="8" a="1"/>
  <c r="E27" i="8" s="1"/>
  <c r="E29" i="8" a="1"/>
  <c r="E29" i="8" s="1"/>
  <c r="E55" i="8" a="1"/>
  <c r="E55" i="8" s="1"/>
  <c r="E12" i="8" a="1"/>
  <c r="E12" i="8" s="1"/>
  <c r="E13" i="8" a="1"/>
  <c r="E13" i="8" s="1"/>
  <c r="E14" i="8" a="1"/>
  <c r="E14" i="8" s="1"/>
  <c r="E15" i="8" a="1"/>
  <c r="E15" i="8" s="1"/>
  <c r="E16" i="8" a="1"/>
  <c r="E16" i="8" s="1"/>
  <c r="E17" i="8" a="1"/>
  <c r="E17" i="8" s="1"/>
  <c r="E18" i="8" a="1"/>
  <c r="E18" i="8" s="1"/>
  <c r="E19" i="8" a="1"/>
  <c r="E19" i="8" s="1"/>
  <c r="E20" i="8" a="1"/>
  <c r="E20" i="8" s="1"/>
  <c r="E23" i="8" a="1"/>
  <c r="E23" i="8" s="1"/>
  <c r="E24" i="8" a="1"/>
  <c r="E24" i="8" s="1"/>
  <c r="E26" i="8" a="1"/>
  <c r="E26" i="8" s="1"/>
  <c r="E28" i="8" a="1"/>
  <c r="E28" i="8" s="1"/>
  <c r="E33" i="8" a="1"/>
  <c r="E33" i="8" s="1"/>
  <c r="E54" i="8" a="1"/>
  <c r="E54" i="8" s="1"/>
  <c r="E35" i="8" a="1"/>
  <c r="E35" i="8" s="1"/>
  <c r="E36" i="8" a="1"/>
  <c r="E36" i="8" s="1"/>
  <c r="E37" i="8" a="1"/>
  <c r="E37" i="8" s="1"/>
  <c r="E38" i="8" a="1"/>
  <c r="E38" i="8" s="1"/>
  <c r="E39" i="8" a="1"/>
  <c r="E39" i="8" s="1"/>
  <c r="E40" i="8" a="1"/>
  <c r="E40" i="8" s="1"/>
  <c r="E41" i="8" a="1"/>
  <c r="E41" i="8" s="1"/>
  <c r="E42" i="8" a="1"/>
  <c r="E42" i="8" s="1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51" i="8" a="1"/>
  <c r="E51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A10" i="8" a="1"/>
  <c r="A10" i="8" s="1"/>
  <c r="A12" i="8" a="1"/>
  <c r="A12" i="8" s="1"/>
  <c r="A14" i="8" a="1"/>
  <c r="A14" i="8" s="1"/>
  <c r="A16" i="8" a="1"/>
  <c r="A16" i="8" s="1"/>
  <c r="A18" i="8" a="1"/>
  <c r="A18" i="8" s="1"/>
  <c r="A20" i="8" a="1"/>
  <c r="A20" i="8" s="1"/>
  <c r="A22" i="8" a="1"/>
  <c r="A22" i="8" s="1"/>
  <c r="A39" i="8" a="1"/>
  <c r="A39" i="8" s="1"/>
  <c r="A42" i="8" a="1"/>
  <c r="A42" i="8" s="1"/>
  <c r="A4" i="8" a="1"/>
  <c r="A4" i="8" s="1"/>
  <c r="A5" i="8" a="1"/>
  <c r="A5" i="8" s="1"/>
  <c r="A6" i="8" a="1"/>
  <c r="A6" i="8" s="1"/>
  <c r="A7" i="8" a="1"/>
  <c r="A7" i="8" s="1"/>
  <c r="A8" i="8" a="1"/>
  <c r="A8" i="8" s="1"/>
  <c r="A9" i="8" a="1"/>
  <c r="A9" i="8" s="1"/>
  <c r="A11" i="8" a="1"/>
  <c r="A11" i="8" s="1"/>
  <c r="A13" i="8" a="1"/>
  <c r="A13" i="8" s="1"/>
  <c r="A15" i="8" a="1"/>
  <c r="A15" i="8" s="1"/>
  <c r="A17" i="8" a="1"/>
  <c r="A17" i="8" s="1"/>
  <c r="A19" i="8" a="1"/>
  <c r="A19" i="8" s="1"/>
  <c r="A21" i="8" a="1"/>
  <c r="A21" i="8" s="1"/>
  <c r="A23" i="8" a="1"/>
  <c r="A23" i="8" s="1"/>
  <c r="A40" i="8" a="1"/>
  <c r="A40" i="8" s="1"/>
  <c r="A43" i="8" a="1"/>
  <c r="A43" i="8" s="1"/>
  <c r="A24" i="8" a="1"/>
  <c r="A24" i="8" s="1"/>
  <c r="A25" i="8" a="1"/>
  <c r="A25" i="8" s="1"/>
  <c r="A26" i="8" a="1"/>
  <c r="A26" i="8" s="1"/>
  <c r="A27" i="8" a="1"/>
  <c r="A27" i="8" s="1"/>
  <c r="A28" i="8" a="1"/>
  <c r="A28" i="8" s="1"/>
  <c r="A29" i="8" a="1"/>
  <c r="A29" i="8" s="1"/>
  <c r="A30" i="8" a="1"/>
  <c r="A30" i="8" s="1"/>
  <c r="A31" i="8" a="1"/>
  <c r="A31" i="8" s="1"/>
  <c r="A32" i="8" a="1"/>
  <c r="A32" i="8" s="1"/>
  <c r="A33" i="8" a="1"/>
  <c r="A33" i="8" s="1"/>
  <c r="A34" i="8" a="1"/>
  <c r="A34" i="8" s="1"/>
  <c r="A35" i="8" a="1"/>
  <c r="A35" i="8" s="1"/>
  <c r="A36" i="8" a="1"/>
  <c r="A36" i="8" s="1"/>
  <c r="A37" i="8" a="1"/>
  <c r="A37" i="8" s="1"/>
  <c r="A38" i="8" a="1"/>
  <c r="A38" i="8" s="1"/>
  <c r="A41" i="8" a="1"/>
  <c r="A41" i="8" s="1"/>
  <c r="A45" i="8" a="1"/>
  <c r="A45" i="8" s="1"/>
  <c r="A47" i="8" a="1"/>
  <c r="A47" i="8" s="1"/>
  <c r="A48" i="8" a="1"/>
  <c r="A48" i="8" s="1"/>
  <c r="A49" i="8" a="1"/>
  <c r="A49" i="8" s="1"/>
  <c r="A50" i="8" a="1"/>
  <c r="A50" i="8" s="1"/>
  <c r="A51" i="8" a="1"/>
  <c r="A51" i="8" s="1"/>
  <c r="A52" i="8" a="1"/>
  <c r="A52" i="8" s="1"/>
  <c r="A53" i="8" a="1"/>
  <c r="A53" i="8" s="1"/>
  <c r="A54" i="8" a="1"/>
  <c r="A54" i="8" s="1"/>
  <c r="A55" i="8" a="1"/>
  <c r="A55" i="8" s="1"/>
  <c r="A56" i="8" a="1"/>
  <c r="A56" i="8" s="1"/>
  <c r="A57" i="8" a="1"/>
  <c r="A57" i="8" s="1"/>
  <c r="A58" i="8" a="1"/>
  <c r="A58" i="8" s="1"/>
  <c r="A59" i="8" a="1"/>
  <c r="A59" i="8" s="1"/>
  <c r="A60" i="8" a="1"/>
  <c r="A60" i="8" s="1"/>
  <c r="A61" i="8" a="1"/>
  <c r="A61" i="8" s="1"/>
  <c r="A62" i="8" a="1"/>
  <c r="A62" i="8" s="1"/>
  <c r="A63" i="8" a="1"/>
  <c r="A63" i="8" s="1"/>
  <c r="D1" i="8" a="1"/>
  <c r="D1" i="8" s="1"/>
  <c r="H1" i="8" a="1"/>
  <c r="H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<sst xmlns="http://schemas.openxmlformats.org/spreadsheetml/2006/main" count="48" uniqueCount="19">
  <si>
    <t>Frequency (Hz)</t>
  </si>
  <si>
    <t>Zre (ohms)</t>
  </si>
  <si>
    <t>Zim (ohms)</t>
  </si>
  <si>
    <t>Frequency (Hz)</t>
    <phoneticPr fontId="1" type="noConversion"/>
  </si>
  <si>
    <t>.txt的名称</t>
  </si>
  <si>
    <t>.txt的名称</t>
    <phoneticPr fontId="1" type="noConversion"/>
  </si>
  <si>
    <t>1A-600-EIS-1（举例）</t>
  </si>
  <si>
    <t>1A-600-EIS-1（举例）</t>
    <phoneticPr fontId="1" type="noConversion"/>
  </si>
  <si>
    <t>1A-600-EIS-2（举例）</t>
  </si>
  <si>
    <t>1A-600-EIS-2（举例）</t>
    <phoneticPr fontId="1" type="noConversion"/>
  </si>
  <si>
    <t>1A-650-EIS-1（举例）</t>
  </si>
  <si>
    <t>拟合</t>
    <phoneticPr fontId="1" type="noConversion"/>
  </si>
  <si>
    <t>EIS-ECM结果的第二列</t>
    <phoneticPr fontId="1" type="noConversion"/>
  </si>
  <si>
    <t>EIS-ECM结果的第三列*-1</t>
    <phoneticPr fontId="1" type="noConversion"/>
  </si>
  <si>
    <t>拟合</t>
  </si>
  <si>
    <t>EIS拟合</t>
    <phoneticPr fontId="1" type="noConversion"/>
  </si>
  <si>
    <t xml:space="preserve">DRT结果里的第一列freq (Hz)	</t>
    <phoneticPr fontId="1" type="noConversion"/>
  </si>
  <si>
    <t>DRT结果里的第二列gamma</t>
    <phoneticPr fontId="1" type="noConversion"/>
  </si>
  <si>
    <t>DRT结果里的第一列freq (Hz)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</si>
</sst>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2" borderId="0" xfId="0" applyNumberFormat="1" applyFill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96B9-5E07-4C32-A567-E4FD0949CE50}">
  <dimension ref="A1:P62"/>
  <sheetViews>
    <sheetView workbookViewId="0">
      <selection activeCell="M1" activeCellId="3" sqref="A1 E1 I1 M1"/>
    </sheetView>
  </sheetViews>
  <sheetFormatPr defaultRowHeight="14.25" x14ac:dyDescent="0.2"/>
  <cols>
    <col min="1" max="1" width="9" style="3"/>
    <col min="2" max="2" width="9.875" style="3" bestFit="1" customWidth="1"/>
    <col min="3" max="4" width="9.875" style="3" customWidth="1"/>
    <col min="5" max="5" width="9" style="4"/>
    <col min="6" max="6" width="9.875" style="4" bestFit="1" customWidth="1"/>
    <col min="7" max="8" width="9.875" style="4" customWidth="1"/>
    <col min="9" max="9" width="9" style="2"/>
    <col min="10" max="10" width="9.875" style="2" bestFit="1" customWidth="1"/>
    <col min="11" max="12" width="9.875" style="2" customWidth="1"/>
    <col min="13" max="13" width="9" style="1"/>
    <col min="14" max="14" width="9.875" style="1" bestFit="1" customWidth="1"/>
    <col min="15" max="15" width="9.875" style="1" customWidth="1"/>
    <col min="16" max="16" width="9" style="1"/>
    <col min="17" max="17" width="9.875" bestFit="1" customWidth="1"/>
  </cols>
  <sheetData>
    <row r="1" spans="1:16" x14ac:dyDescent="0.2">
      <c r="A1" s="3" t="s">
        <v>5</v>
      </c>
      <c r="C1" s="3" t="s">
        <v>15</v>
      </c>
      <c r="E1" s="4" t="s">
        <v>7</v>
      </c>
      <c r="G1" s="4" t="s">
        <v>15</v>
      </c>
      <c r="I1" s="2" t="s">
        <v>9</v>
      </c>
      <c r="K1" s="2" t="s">
        <v>15</v>
      </c>
      <c r="M1" s="1" t="s">
        <v>10</v>
      </c>
      <c r="O1" s="1" t="s">
        <v>15</v>
      </c>
    </row>
    <row r="2" spans="1:16" x14ac:dyDescent="0.2">
      <c r="A2" s="3">
        <f>'.txt的名称'!B2*0.196</f>
        <v>0.15026454413775608</v>
      </c>
      <c r="B2" s="3">
        <f>'.txt的名称'!C2*-0.196</f>
        <v>-0.25286846818892461</v>
      </c>
      <c r="C2" s="3" t="s">
        <v>12</v>
      </c>
      <c r="D2" s="3" t="s">
        <v>13</v>
      </c>
      <c r="E2" s="4">
        <f>'1A-600-EIS-1（举例）'!B2*0.196</f>
        <v>0.25940235806797929</v>
      </c>
      <c r="F2" s="4">
        <f>'1A-600-EIS-1（举例）'!C2*-0.196</f>
        <v>-0.2790585457484997</v>
      </c>
      <c r="G2" s="4" t="s">
        <v>12</v>
      </c>
      <c r="H2" s="4" t="s">
        <v>13</v>
      </c>
      <c r="I2" s="2">
        <f>'1A-600-EIS-2（举例）'!B2*0.196</f>
        <v>0.25045266011067707</v>
      </c>
      <c r="J2" s="2">
        <f>'1A-600-EIS-2（举例）'!C2*-0.196</f>
        <v>-0.24340305929665096</v>
      </c>
      <c r="K2" s="2" t="s">
        <v>12</v>
      </c>
      <c r="L2" s="2" t="s">
        <v>13</v>
      </c>
      <c r="M2" s="1">
        <f>'1A-650-EIS-1（举例）'!B2*0.196</f>
        <v>0.30576816464786538</v>
      </c>
      <c r="N2" s="1">
        <f>'1A-650-EIS-1（举例）'!C2*-0.196</f>
        <v>-0.3398436651292091</v>
      </c>
      <c r="O2" s="1" t="s">
        <v>12</v>
      </c>
      <c r="P2" s="1" t="s">
        <v>13</v>
      </c>
    </row>
    <row r="3" spans="1:16" x14ac:dyDescent="0.2">
      <c r="A3" s="3">
        <f>'.txt的名称'!B3*0.196</f>
        <v>0.15025035921689198</v>
      </c>
      <c r="B3" s="3">
        <f>'.txt的名称'!C3*-0.196</f>
        <v>-0.20092249944123391</v>
      </c>
      <c r="E3" s="4">
        <f>'1A-600-EIS-1（举例）'!B3*0.196</f>
        <v>0.16688117992633014</v>
      </c>
      <c r="F3" s="4">
        <f>'1A-600-EIS-1（举例）'!C3*-0.196</f>
        <v>-0.20010395284059798</v>
      </c>
      <c r="I3" s="2">
        <f>'1A-600-EIS-2（举例）'!B3*0.196</f>
        <v>0.19632475750241116</v>
      </c>
      <c r="J3" s="2">
        <f>'1A-600-EIS-2（举例）'!C3*-0.196</f>
        <v>-0.2004248297919507</v>
      </c>
      <c r="M3" s="1">
        <f>'1A-650-EIS-1（举例）'!B3*0.196</f>
        <v>0.24941564150441684</v>
      </c>
      <c r="N3" s="1">
        <f>'1A-650-EIS-1（举例）'!C3*-0.196</f>
        <v>-0.20068061563854642</v>
      </c>
      <c r="O3" s="5"/>
    </row>
    <row r="4" spans="1:16" x14ac:dyDescent="0.2">
      <c r="A4" s="3">
        <f>'.txt的名称'!B4*0.196</f>
        <v>0.15120141832509756</v>
      </c>
      <c r="B4" s="3">
        <f>'.txt的名称'!C4*-0.196</f>
        <v>-0.15962746319419385</v>
      </c>
      <c r="E4" s="4">
        <f>'1A-600-EIS-1（举例）'!B4*0.196</f>
        <v>0.16994375276328957</v>
      </c>
      <c r="F4" s="4">
        <f>'1A-600-EIS-1（举例）'!C4*-0.196</f>
        <v>-0.15917014127914694</v>
      </c>
      <c r="I4" s="2">
        <f>'1A-600-EIS-2（举例）'!B4*0.196</f>
        <v>0.20084439896109374</v>
      </c>
      <c r="J4" s="2">
        <f>'1A-600-EIS-2（举例）'!C4*-0.196</f>
        <v>-0.1594016563248026</v>
      </c>
      <c r="M4" s="1">
        <f>'1A-650-EIS-1（举例）'!B4*0.196</f>
        <v>0.25544873477221086</v>
      </c>
      <c r="N4" s="1">
        <f>'1A-650-EIS-1（举例）'!C4*-0.196</f>
        <v>-0.1588172602514839</v>
      </c>
      <c r="O4" s="5"/>
    </row>
    <row r="5" spans="1:16" x14ac:dyDescent="0.2">
      <c r="A5" s="3">
        <f>'.txt的名称'!B5*0.196</f>
        <v>0.15118390041207774</v>
      </c>
      <c r="B5" s="3">
        <f>'.txt的名称'!C5*-0.196</f>
        <v>-0.12680084437161973</v>
      </c>
      <c r="E5" s="4">
        <f>'1A-600-EIS-1（举例）'!B5*0.196</f>
        <v>0.17100773424040691</v>
      </c>
      <c r="F5" s="4">
        <f>'1A-600-EIS-1（举例）'!C5*-0.196</f>
        <v>-0.12594316672251271</v>
      </c>
      <c r="I5" s="2">
        <f>'1A-600-EIS-2（举例）'!B5*0.196</f>
        <v>0.20095122923767755</v>
      </c>
      <c r="J5" s="2">
        <f>'1A-600-EIS-2（举例）'!C5*-0.196</f>
        <v>-0.12610425588029051</v>
      </c>
      <c r="M5" s="1">
        <f>'1A-650-EIS-1（举例）'!B5*0.196</f>
        <v>0.25628542768446466</v>
      </c>
      <c r="N5" s="1">
        <f>'1A-650-EIS-1（举例）'!C5*-0.196</f>
        <v>-0.12542114630795442</v>
      </c>
      <c r="O5" s="5"/>
    </row>
    <row r="6" spans="1:16" x14ac:dyDescent="0.2">
      <c r="A6" s="3">
        <f>'.txt的名称'!B6*0.196</f>
        <v>0.15218612365060302</v>
      </c>
      <c r="B6" s="3">
        <f>'.txt的名称'!C6*-0.196</f>
        <v>-9.8694009144193295E-2</v>
      </c>
      <c r="E6" s="4">
        <f>'1A-600-EIS-1（举例）'!B6*0.196</f>
        <v>0.17139407943714</v>
      </c>
      <c r="F6" s="4">
        <f>'1A-600-EIS-1（举例）'!C6*-0.196</f>
        <v>-0.10023166538965166</v>
      </c>
      <c r="I6" s="2">
        <f>'1A-600-EIS-2（举例）'!B6*0.196</f>
        <v>0.20109570153284448</v>
      </c>
      <c r="J6" s="2">
        <f>'1A-600-EIS-2（举例）'!C6*-0.196</f>
        <v>-9.9874374742194336E-2</v>
      </c>
      <c r="M6" s="1">
        <f>'1A-650-EIS-1（举例）'!B6*0.196</f>
        <v>0.25550184944977145</v>
      </c>
      <c r="N6" s="1">
        <f>'1A-650-EIS-1（举例）'!C6*-0.196</f>
        <v>-9.9817472230201112E-2</v>
      </c>
      <c r="O6" s="5"/>
    </row>
    <row r="7" spans="1:16" x14ac:dyDescent="0.2">
      <c r="A7" s="3">
        <f>'.txt的名称'!B7*0.196</f>
        <v>0.15210995614396483</v>
      </c>
      <c r="B7" s="3">
        <f>'.txt的名称'!C7*-0.196</f>
        <v>-7.8214835939607749E-2</v>
      </c>
      <c r="E7" s="4">
        <f>'1A-600-EIS-1（举例）'!B7*0.196</f>
        <v>0.1706542572728707</v>
      </c>
      <c r="F7" s="4">
        <f>'1A-600-EIS-1（举例）'!C7*-0.196</f>
        <v>-7.8804750747073174E-2</v>
      </c>
      <c r="I7" s="2">
        <f>'1A-600-EIS-2（举例）'!B7*0.196</f>
        <v>0.20174223282889256</v>
      </c>
      <c r="J7" s="2">
        <f>'1A-600-EIS-2（举例）'!C7*-0.196</f>
        <v>-7.8855910409653257E-2</v>
      </c>
      <c r="M7" s="1">
        <f>'1A-650-EIS-1（举例）'!B7*0.196</f>
        <v>0.25619781704913425</v>
      </c>
      <c r="N7" s="1">
        <f>'1A-650-EIS-1（举例）'!C7*-0.196</f>
        <v>-7.8202765572894503E-2</v>
      </c>
      <c r="O7" s="5"/>
    </row>
    <row r="8" spans="1:16" x14ac:dyDescent="0.2">
      <c r="A8" s="3">
        <f>'.txt的名称'!B8*0.196</f>
        <v>0.15175894104916998</v>
      </c>
      <c r="B8" s="3">
        <f>'.txt的名称'!C8*-0.196</f>
        <v>-6.1655002181635186E-2</v>
      </c>
      <c r="E8" s="4">
        <f>'1A-600-EIS-1（举例）'!B8*0.196</f>
        <v>0.17118915320314276</v>
      </c>
      <c r="F8" s="4">
        <f>'1A-600-EIS-1（举例）'!C8*-0.196</f>
        <v>-6.1843973983056244E-2</v>
      </c>
      <c r="I8" s="2">
        <f>'1A-600-EIS-2（举例）'!B8*0.196</f>
        <v>0.20176762211177629</v>
      </c>
      <c r="J8" s="2">
        <f>'1A-600-EIS-2（举例）'!C8*-0.196</f>
        <v>-6.1996515908672271E-2</v>
      </c>
      <c r="M8" s="1">
        <f>'1A-650-EIS-1（举例）'!B8*0.196</f>
        <v>0.25611778999383639</v>
      </c>
      <c r="N8" s="1">
        <f>'1A-650-EIS-1（举例）'!C8*-0.196</f>
        <v>-6.1513037018176828E-2</v>
      </c>
      <c r="O8" s="5"/>
    </row>
    <row r="9" spans="1:16" x14ac:dyDescent="0.2">
      <c r="A9" s="3">
        <f>'.txt的名称'!B9*0.196</f>
        <v>0.15195854777646842</v>
      </c>
      <c r="B9" s="3">
        <f>'.txt的名称'!C9*-0.196</f>
        <v>-4.8685904323604215E-2</v>
      </c>
      <c r="E9" s="4">
        <f>'1A-600-EIS-1（举例）'!B9*0.196</f>
        <v>0.17118923982373832</v>
      </c>
      <c r="F9" s="4">
        <f>'1A-600-EIS-1（举例）'!C9*-0.196</f>
        <v>-4.9209583928640915E-2</v>
      </c>
      <c r="I9" s="2">
        <f>'1A-600-EIS-2（举例）'!B9*0.196</f>
        <v>0.20185902853456847</v>
      </c>
      <c r="J9" s="2">
        <f>'1A-600-EIS-2（举例）'!C9*-0.196</f>
        <v>-4.8513805750538076E-2</v>
      </c>
      <c r="M9" s="1">
        <f>'1A-650-EIS-1（举例）'!B9*0.196</f>
        <v>0.25645999252287405</v>
      </c>
      <c r="N9" s="1">
        <f>'1A-650-EIS-1（举例）'!C9*-0.196</f>
        <v>-4.7702687774561818E-2</v>
      </c>
      <c r="O9" s="5"/>
    </row>
    <row r="10" spans="1:16" x14ac:dyDescent="0.2">
      <c r="A10" s="3">
        <f>'.txt的名称'!B10*0.196</f>
        <v>0.15199367387254795</v>
      </c>
      <c r="B10" s="3">
        <f>'.txt的名称'!C10*-0.196</f>
        <v>-3.8106646732915521E-2</v>
      </c>
      <c r="E10" s="4">
        <f>'1A-600-EIS-1（举例）'!B10*0.196</f>
        <v>0.17173556692287251</v>
      </c>
      <c r="F10" s="4">
        <f>'1A-600-EIS-1（举例）'!C10*-0.196</f>
        <v>-3.8255967564947695E-2</v>
      </c>
      <c r="I10" s="2">
        <f>'1A-600-EIS-2（举例）'!B10*0.196</f>
        <v>0.20198753495463115</v>
      </c>
      <c r="J10" s="2">
        <f>'1A-600-EIS-2（举例）'!C10*-0.196</f>
        <v>-3.8286141165541666E-2</v>
      </c>
      <c r="M10" s="1">
        <f>'1A-650-EIS-1（举例）'!B10*0.196</f>
        <v>0.25621158683045298</v>
      </c>
      <c r="N10" s="1">
        <f>'1A-650-EIS-1（举例）'!C10*-0.196</f>
        <v>-3.7784176727391615E-2</v>
      </c>
      <c r="O10" s="5"/>
    </row>
    <row r="11" spans="1:16" x14ac:dyDescent="0.2">
      <c r="A11" s="3">
        <f>'.txt的名称'!B11*0.196</f>
        <v>0.15207281491483848</v>
      </c>
      <c r="B11" s="3">
        <f>'.txt的名称'!C11*-0.196</f>
        <v>-3.0260735954680755E-2</v>
      </c>
      <c r="E11" s="4">
        <f>'1A-600-EIS-1（举例）'!B11*0.196</f>
        <v>0.17179130823010863</v>
      </c>
      <c r="F11" s="4">
        <f>'1A-600-EIS-1（举例）'!C11*-0.196</f>
        <v>-2.993075467937744E-2</v>
      </c>
      <c r="I11" s="2">
        <f>'1A-600-EIS-2（举例）'!B11*0.196</f>
        <v>0.20213701505953732</v>
      </c>
      <c r="J11" s="2">
        <f>'1A-600-EIS-2（举例）'!C11*-0.196</f>
        <v>-3.0418373677710789E-2</v>
      </c>
      <c r="M11" s="1">
        <f>'1A-650-EIS-1（举例）'!B11*0.196</f>
        <v>0.25661829816982717</v>
      </c>
      <c r="N11" s="1">
        <f>'1A-650-EIS-1（举例）'!C11*-0.196</f>
        <v>-2.9187101712635638E-2</v>
      </c>
      <c r="O11" s="5"/>
    </row>
    <row r="12" spans="1:16" x14ac:dyDescent="0.2">
      <c r="A12" s="3">
        <f>'.txt的名称'!B12*0.196</f>
        <v>0.15243377548236214</v>
      </c>
      <c r="B12" s="3">
        <f>'.txt的名称'!C12*-0.196</f>
        <v>-2.4205067768649599E-2</v>
      </c>
      <c r="E12" s="4">
        <f>'1A-600-EIS-1（举例）'!B12*0.196</f>
        <v>0.17230065890894739</v>
      </c>
      <c r="F12" s="4">
        <f>'1A-600-EIS-1（举例）'!C12*-0.196</f>
        <v>-2.3820814521042392E-2</v>
      </c>
      <c r="I12" s="2">
        <f>'1A-600-EIS-2（举例）'!B12*0.196</f>
        <v>0.20254900827847111</v>
      </c>
      <c r="J12" s="2">
        <f>'1A-600-EIS-2（举例）'!C12*-0.196</f>
        <v>-2.3583873570456194E-2</v>
      </c>
      <c r="M12" s="1">
        <f>'1A-650-EIS-1（举例）'!B12*0.196</f>
        <v>0.25749098420876909</v>
      </c>
      <c r="N12" s="1">
        <f>'1A-650-EIS-1（举例）'!C12*-0.196</f>
        <v>-2.281568684716986E-2</v>
      </c>
      <c r="O12" s="5"/>
    </row>
    <row r="13" spans="1:16" x14ac:dyDescent="0.2">
      <c r="A13" s="3">
        <f>'.txt的名称'!B13*0.196</f>
        <v>0.15257349724333155</v>
      </c>
      <c r="B13" s="3">
        <f>'.txt的名称'!C13*-0.196</f>
        <v>-1.816883626950375E-2</v>
      </c>
      <c r="E13" s="4">
        <f>'1A-600-EIS-1（举例）'!B13*0.196</f>
        <v>0.17268282786498562</v>
      </c>
      <c r="F13" s="4">
        <f>'1A-600-EIS-1（举例）'!C13*-0.196</f>
        <v>-1.764279344320361E-2</v>
      </c>
      <c r="I13" s="2">
        <f>'1A-600-EIS-2（举例）'!B13*0.196</f>
        <v>0.2031499367120734</v>
      </c>
      <c r="J13" s="2">
        <f>'1A-600-EIS-2（举例）'!C13*-0.196</f>
        <v>-1.7277196886271082E-2</v>
      </c>
      <c r="M13" s="1">
        <f>'1A-650-EIS-1（举例）'!B13*0.196</f>
        <v>0.25795418941436399</v>
      </c>
      <c r="N13" s="1">
        <f>'1A-650-EIS-1（举例）'!C13*-0.196</f>
        <v>-1.5805418918704559E-2</v>
      </c>
      <c r="O13" s="5"/>
    </row>
    <row r="14" spans="1:16" x14ac:dyDescent="0.2">
      <c r="A14" s="3">
        <f>'.txt的名称'!B14*0.196</f>
        <v>0.1529667021951944</v>
      </c>
      <c r="B14" s="3">
        <f>'.txt的名称'!C14*-0.196</f>
        <v>-1.3895659246836226E-2</v>
      </c>
      <c r="E14" s="4">
        <f>'1A-600-EIS-1（举例）'!B14*0.196</f>
        <v>0.17294485514786742</v>
      </c>
      <c r="F14" s="4">
        <f>'1A-600-EIS-1（举例）'!C14*-0.196</f>
        <v>-1.2555703291511983E-2</v>
      </c>
      <c r="I14" s="2">
        <f>'1A-600-EIS-2（举例）'!B14*0.196</f>
        <v>0.20324440619335776</v>
      </c>
      <c r="J14" s="2">
        <f>'1A-600-EIS-2（举例）'!C14*-0.196</f>
        <v>-1.2493958980847743E-2</v>
      </c>
      <c r="M14" s="1">
        <f>'1A-650-EIS-1（举例）'!B14*0.196</f>
        <v>0.25850204624283651</v>
      </c>
      <c r="N14" s="1">
        <f>'1A-650-EIS-1（举例）'!C14*-0.196</f>
        <v>-1.1646541639178715E-2</v>
      </c>
      <c r="O14" s="5"/>
    </row>
    <row r="15" spans="1:16" x14ac:dyDescent="0.2">
      <c r="A15" s="3">
        <f>'.txt的名称'!B15*0.196</f>
        <v>0.15303552746182777</v>
      </c>
      <c r="B15" s="3">
        <f>'.txt的名称'!C15*-0.196</f>
        <v>-1.0000293738338627E-2</v>
      </c>
      <c r="E15" s="4">
        <f>'1A-600-EIS-1（举例）'!B15*0.196</f>
        <v>0.17337842591184274</v>
      </c>
      <c r="F15" s="4">
        <f>'1A-600-EIS-1（举例）'!C15*-0.196</f>
        <v>-8.6298713972103366E-3</v>
      </c>
      <c r="I15" s="2">
        <f>'1A-600-EIS-2（举例）'!B15*0.196</f>
        <v>0.20397271517139637</v>
      </c>
      <c r="J15" s="2">
        <f>'1A-600-EIS-2（举例）'!C15*-0.196</f>
        <v>-8.5753292644075146E-3</v>
      </c>
      <c r="M15" s="1">
        <f>'1A-650-EIS-1（举例）'!B15*0.196</f>
        <v>0.25974643960621052</v>
      </c>
      <c r="N15" s="1">
        <f>'1A-650-EIS-1（举例）'!C15*-0.196</f>
        <v>-7.9652443711073027E-3</v>
      </c>
      <c r="O15" s="5"/>
    </row>
    <row r="16" spans="1:16" x14ac:dyDescent="0.2">
      <c r="A16" s="3">
        <f>'.txt的名称'!B16*0.196</f>
        <v>0.15333289185035109</v>
      </c>
      <c r="B16" s="3">
        <f>'.txt的名称'!C16*-0.196</f>
        <v>-6.9877402471382136E-3</v>
      </c>
      <c r="E16" s="4">
        <f>'1A-600-EIS-1（举例）'!B16*0.196</f>
        <v>0.17368293353220662</v>
      </c>
      <c r="F16" s="4">
        <f>'1A-600-EIS-1（举例）'!C16*-0.196</f>
        <v>-5.6856558488004574E-3</v>
      </c>
      <c r="I16" s="2">
        <f>'1A-600-EIS-2（举例）'!B16*0.196</f>
        <v>0.20442679294351973</v>
      </c>
      <c r="J16" s="2">
        <f>'1A-600-EIS-2（举例）'!C16*-0.196</f>
        <v>-5.4820426976225009E-3</v>
      </c>
      <c r="M16" s="1">
        <f>'1A-650-EIS-1（举例）'!B16*0.196</f>
        <v>0.26051413041884297</v>
      </c>
      <c r="N16" s="1">
        <f>'1A-650-EIS-1（举例）'!C16*-0.196</f>
        <v>-3.3520183422102723E-3</v>
      </c>
      <c r="O16" s="5"/>
    </row>
    <row r="17" spans="1:15" x14ac:dyDescent="0.2">
      <c r="A17" s="3">
        <f>'.txt的名称'!B17*0.196</f>
        <v>0.1537963275658269</v>
      </c>
      <c r="B17" s="3">
        <f>'.txt的名称'!C17*-0.196</f>
        <v>-4.554754651603151E-3</v>
      </c>
      <c r="E17" s="4">
        <f>'1A-600-EIS-1（举例）'!B17*0.196</f>
        <v>0.17422624446926646</v>
      </c>
      <c r="F17" s="4">
        <f>'1A-600-EIS-1（举例）'!C17*-0.196</f>
        <v>-2.8837458790621656E-3</v>
      </c>
      <c r="I17" s="2">
        <f>'1A-600-EIS-2（举例）'!B17*0.196</f>
        <v>0.20540390522426963</v>
      </c>
      <c r="J17" s="2">
        <f>'1A-600-EIS-2（举例）'!C17*-0.196</f>
        <v>-3.0688835498908361E-3</v>
      </c>
      <c r="M17" s="1">
        <f>'1A-650-EIS-1（举例）'!B17*0.196</f>
        <v>0.26078027694644323</v>
      </c>
      <c r="N17" s="1">
        <f>'1A-650-EIS-1（举例）'!C17*-0.196</f>
        <v>-4.8097656309332174E-4</v>
      </c>
      <c r="O17" s="5"/>
    </row>
    <row r="18" spans="1:15" x14ac:dyDescent="0.2">
      <c r="A18" s="3">
        <f>'.txt的名称'!B18*0.196</f>
        <v>0.15431449812644923</v>
      </c>
      <c r="B18" s="3">
        <f>'.txt的名称'!C18*-0.196</f>
        <v>-2.4139914297615765E-3</v>
      </c>
      <c r="E18" s="4">
        <f>'1A-600-EIS-1（举例）'!B18*0.196</f>
        <v>0.17502693909793457</v>
      </c>
      <c r="F18" s="4">
        <f>'1A-600-EIS-1（举例）'!C18*-0.196</f>
        <v>-3.8041623068736001E-4</v>
      </c>
      <c r="I18" s="2">
        <f>'1A-600-EIS-2（举例）'!B18*0.196</f>
        <v>0.20624531549166947</v>
      </c>
      <c r="J18" s="2">
        <f>'1A-600-EIS-2（举例）'!C18*-0.196</f>
        <v>2.9224841539730287E-4</v>
      </c>
      <c r="M18" s="1">
        <f>'1A-650-EIS-1（举例）'!B18*0.196</f>
        <v>0.26175590591653131</v>
      </c>
      <c r="N18" s="1">
        <f>'1A-650-EIS-1（举例）'!C18*-0.196</f>
        <v>1.7256824106095219E-3</v>
      </c>
      <c r="O18" s="5"/>
    </row>
    <row r="19" spans="1:15" x14ac:dyDescent="0.2">
      <c r="A19" s="3">
        <f>'.txt的名称'!B19*0.196</f>
        <v>0.15479043151660593</v>
      </c>
      <c r="B19" s="3">
        <f>'.txt的名称'!C19*-0.196</f>
        <v>-6.7311095806591424E-4</v>
      </c>
      <c r="E19" s="4">
        <f>'1A-600-EIS-1（举例）'!B19*0.196</f>
        <v>0.1757311898584136</v>
      </c>
      <c r="F19" s="4">
        <f>'1A-600-EIS-1（举例）'!C19*-0.196</f>
        <v>1.5528429824298584E-3</v>
      </c>
      <c r="I19" s="2">
        <f>'1A-600-EIS-2（举例）'!B19*0.196</f>
        <v>0.2066019530938398</v>
      </c>
      <c r="J19" s="2">
        <f>'1A-600-EIS-2（举例）'!C19*-0.196</f>
        <v>2.2504173895817516E-3</v>
      </c>
      <c r="M19" s="1">
        <f>'1A-650-EIS-1（举例）'!B19*0.196</f>
        <v>0.26247557471281385</v>
      </c>
      <c r="N19" s="1">
        <f>'1A-650-EIS-1（举例）'!C19*-0.196</f>
        <v>4.9385773864242455E-3</v>
      </c>
      <c r="O19" s="5"/>
    </row>
    <row r="20" spans="1:15" x14ac:dyDescent="0.2">
      <c r="A20" s="3">
        <f>'.txt的名称'!B20*0.196</f>
        <v>0.15547349951728867</v>
      </c>
      <c r="B20" s="3">
        <f>'.txt的名称'!C20*-0.196</f>
        <v>9.9227515283452448E-4</v>
      </c>
      <c r="E20" s="4">
        <f>'1A-600-EIS-1（举例）'!B20*0.196</f>
        <v>0.17668024151561659</v>
      </c>
      <c r="F20" s="4">
        <f>'1A-600-EIS-1（举例）'!C20*-0.196</f>
        <v>3.4788588489265129E-3</v>
      </c>
      <c r="I20" s="2">
        <f>'1A-600-EIS-2（举例）'!B20*0.196</f>
        <v>0.20762028836145549</v>
      </c>
      <c r="J20" s="2">
        <f>'1A-600-EIS-2（举例）'!C20*-0.196</f>
        <v>4.4718339560502474E-3</v>
      </c>
      <c r="M20" s="1">
        <f>'1A-650-EIS-1（举例）'!B20*0.196</f>
        <v>0.26381747535339894</v>
      </c>
      <c r="N20" s="1">
        <f>'1A-650-EIS-1（举例）'!C20*-0.196</f>
        <v>7.5704615464655886E-3</v>
      </c>
      <c r="O20" s="5"/>
    </row>
    <row r="21" spans="1:15" x14ac:dyDescent="0.2">
      <c r="A21" s="3">
        <f>'.txt的名称'!B21*0.196</f>
        <v>0.15624993496014666</v>
      </c>
      <c r="B21" s="3">
        <f>'.txt的名称'!C21*-0.196</f>
        <v>2.3497546280711748E-3</v>
      </c>
      <c r="E21" s="4">
        <f>'1A-600-EIS-1（举例）'!B21*0.196</f>
        <v>0.17765443462594585</v>
      </c>
      <c r="F21" s="4">
        <f>'1A-600-EIS-1（举例）'!C21*-0.196</f>
        <v>5.2175706631715632E-3</v>
      </c>
      <c r="I21" s="2">
        <f>'1A-600-EIS-2（举例）'!B21*0.196</f>
        <v>0.2087492155755398</v>
      </c>
      <c r="J21" s="2">
        <f>'1A-600-EIS-2（举例）'!C21*-0.196</f>
        <v>6.5173773271937257E-3</v>
      </c>
      <c r="M21" s="1">
        <f>'1A-650-EIS-1（举例）'!B21*0.196</f>
        <v>0.26529286018419884</v>
      </c>
      <c r="N21" s="1">
        <f>'1A-650-EIS-1（举例）'!C21*-0.196</f>
        <v>1.0104563095742872E-2</v>
      </c>
      <c r="O21" s="5"/>
    </row>
    <row r="22" spans="1:15" x14ac:dyDescent="0.2">
      <c r="A22" s="3">
        <f>'.txt的名称'!B22*0.196</f>
        <v>0.15709813404848519</v>
      </c>
      <c r="B22" s="3">
        <f>'.txt的名称'!C22*-0.196</f>
        <v>3.5879629913260816E-3</v>
      </c>
      <c r="E22" s="4">
        <f>'1A-600-EIS-1（举例）'!B22*0.196</f>
        <v>0.17876847817249011</v>
      </c>
      <c r="F22" s="4">
        <f>'1A-600-EIS-1（举例）'!C22*-0.196</f>
        <v>6.8796001201408665E-3</v>
      </c>
      <c r="I22" s="2">
        <f>'1A-600-EIS-2（举例）'!B22*0.196</f>
        <v>0.21003102966922216</v>
      </c>
      <c r="J22" s="2">
        <f>'1A-600-EIS-2（举例）'!C22*-0.196</f>
        <v>8.3328815907172792E-3</v>
      </c>
      <c r="M22" s="1">
        <f>'1A-650-EIS-1（举例）'!B22*0.196</f>
        <v>0.26699721692037465</v>
      </c>
      <c r="N22" s="1">
        <f>'1A-650-EIS-1（举例）'!C22*-0.196</f>
        <v>1.2471911950447801E-2</v>
      </c>
      <c r="O22" s="5"/>
    </row>
    <row r="23" spans="1:15" x14ac:dyDescent="0.2">
      <c r="A23" s="3">
        <f>'.txt的名称'!B23*0.196</f>
        <v>0.15794283856016958</v>
      </c>
      <c r="B23" s="3">
        <f>'.txt的名称'!C23*-0.196</f>
        <v>4.6691740164258562E-3</v>
      </c>
      <c r="E23" s="4">
        <f>'1A-600-EIS-1（举例）'!B23*0.196</f>
        <v>0.18013732579269212</v>
      </c>
      <c r="F23" s="4">
        <f>'1A-600-EIS-1（举例）'!C23*-0.196</f>
        <v>8.358496721112255E-3</v>
      </c>
      <c r="I23" s="2">
        <f>'1A-600-EIS-2（举例）'!B23*0.196</f>
        <v>0.21151906006723384</v>
      </c>
      <c r="J23" s="2">
        <f>'1A-600-EIS-2（举例）'!C23*-0.196</f>
        <v>1.0170430026686706E-2</v>
      </c>
      <c r="M23" s="1">
        <f>'1A-650-EIS-1（举例）'!B23*0.196</f>
        <v>0.26886975369928634</v>
      </c>
      <c r="N23" s="1">
        <f>'1A-650-EIS-1（举例）'!C23*-0.196</f>
        <v>1.5036579976427869E-2</v>
      </c>
      <c r="O23" s="5"/>
    </row>
    <row r="24" spans="1:15" x14ac:dyDescent="0.2">
      <c r="A24" s="3">
        <f>'.txt的名称'!B24*0.196</f>
        <v>0.15898357206058403</v>
      </c>
      <c r="B24" s="3">
        <f>'.txt的名称'!C24*-0.196</f>
        <v>5.6620207718587326E-3</v>
      </c>
      <c r="E24" s="4">
        <f>'1A-600-EIS-1（举例）'!B24*0.196</f>
        <v>0.18164716169541725</v>
      </c>
      <c r="F24" s="4">
        <f>'1A-600-EIS-1（举例）'!C24*-0.196</f>
        <v>9.9664045239265999E-3</v>
      </c>
      <c r="I24" s="2">
        <f>'1A-600-EIS-2（举例）'!B24*0.196</f>
        <v>0.21335336515039624</v>
      </c>
      <c r="J24" s="2">
        <f>'1A-600-EIS-2（举例）'!C24*-0.196</f>
        <v>1.1996146929427347E-2</v>
      </c>
      <c r="M24" s="1">
        <f>'1A-650-EIS-1（举例）'!B24*0.196</f>
        <v>0.27122240850266605</v>
      </c>
      <c r="N24" s="1">
        <f>'1A-650-EIS-1（举例）'!C24*-0.196</f>
        <v>1.7901692375044721E-2</v>
      </c>
      <c r="O24" s="5"/>
    </row>
    <row r="25" spans="1:15" x14ac:dyDescent="0.2">
      <c r="A25" s="3">
        <f>'.txt的名称'!B25*0.196</f>
        <v>0.15997290428063268</v>
      </c>
      <c r="B25" s="3">
        <f>'.txt的名称'!C25*-0.196</f>
        <v>6.5048713150196134E-3</v>
      </c>
      <c r="E25" s="4">
        <f>'1A-600-EIS-1（举例）'!B25*0.196</f>
        <v>0.18321976717435598</v>
      </c>
      <c r="F25" s="4">
        <f>'1A-600-EIS-1（举例）'!C25*-0.196</f>
        <v>1.1300046249869199E-2</v>
      </c>
      <c r="I25" s="2">
        <f>'1A-600-EIS-2（举例）'!B25*0.196</f>
        <v>0.21512992861663016</v>
      </c>
      <c r="J25" s="2">
        <f>'1A-600-EIS-2（举例）'!C25*-0.196</f>
        <v>1.3763326765768344E-2</v>
      </c>
      <c r="M25" s="1">
        <f>'1A-650-EIS-1（举例）'!B25*0.196</f>
        <v>0.27358162199733316</v>
      </c>
      <c r="N25" s="1">
        <f>'1A-650-EIS-1（举例）'!C25*-0.196</f>
        <v>2.0466907065596656E-2</v>
      </c>
      <c r="O25" s="5"/>
    </row>
    <row r="26" spans="1:15" x14ac:dyDescent="0.2">
      <c r="A26" s="3">
        <f>'.txt的名称'!B26*0.196</f>
        <v>0.16131977128253577</v>
      </c>
      <c r="B26" s="3">
        <f>'.txt的名称'!C26*-0.196</f>
        <v>7.3007830271191168E-3</v>
      </c>
      <c r="E26" s="4">
        <f>'1A-600-EIS-1（举例）'!B26*0.196</f>
        <v>0.18492795053074196</v>
      </c>
      <c r="F26" s="4">
        <f>'1A-600-EIS-1（举例）'!C26*-0.196</f>
        <v>1.2822544924945863E-2</v>
      </c>
      <c r="I26" s="2">
        <f>'1A-600-EIS-2（举例）'!B26*0.196</f>
        <v>0.21736605086874189</v>
      </c>
      <c r="J26" s="2">
        <f>'1A-600-EIS-2（举例）'!C26*-0.196</f>
        <v>1.5576320537573853E-2</v>
      </c>
      <c r="M26" s="1">
        <f>'1A-650-EIS-1（举例）'!B26*0.196</f>
        <v>0.27671927968247217</v>
      </c>
      <c r="N26" s="1">
        <f>'1A-650-EIS-1（举例）'!C26*-0.196</f>
        <v>2.346268724038638E-2</v>
      </c>
      <c r="O26" s="5"/>
    </row>
    <row r="27" spans="1:15" x14ac:dyDescent="0.2">
      <c r="A27" s="3">
        <f>'.txt的名称'!B27*0.196</f>
        <v>0.16262989748253523</v>
      </c>
      <c r="B27" s="3">
        <f>'.txt的名称'!C27*-0.196</f>
        <v>8.1819708145147337E-3</v>
      </c>
      <c r="E27" s="4">
        <f>'1A-600-EIS-1（举例）'!B27*0.196</f>
        <v>0.18711187976602406</v>
      </c>
      <c r="F27" s="4">
        <f>'1A-600-EIS-1（举例）'!C27*-0.196</f>
        <v>1.4353069462574676E-2</v>
      </c>
      <c r="I27" s="2">
        <f>'1A-600-EIS-2（举例）'!B27*0.196</f>
        <v>0.22006691060926264</v>
      </c>
      <c r="J27" s="2">
        <f>'1A-600-EIS-2（举例）'!C27*-0.196</f>
        <v>1.7291671290360026E-2</v>
      </c>
      <c r="M27" s="1">
        <f>'1A-650-EIS-1（举例）'!B27*0.196</f>
        <v>0.28047686354602969</v>
      </c>
      <c r="N27" s="1">
        <f>'1A-650-EIS-1（举例）'!C27*-0.196</f>
        <v>2.6750497934687856E-2</v>
      </c>
      <c r="O27" s="5"/>
    </row>
    <row r="28" spans="1:15" x14ac:dyDescent="0.2">
      <c r="A28" s="3">
        <f>'.txt的名称'!B28*0.196</f>
        <v>0.16398252535061719</v>
      </c>
      <c r="B28" s="3">
        <f>'.txt的名称'!C28*-0.196</f>
        <v>8.7949807502119906E-3</v>
      </c>
      <c r="E28" s="4">
        <f>'1A-600-EIS-1（举例）'!B28*0.196</f>
        <v>0.18916669020307331</v>
      </c>
      <c r="F28" s="4">
        <f>'1A-600-EIS-1（举例）'!C28*-0.196</f>
        <v>1.5742026465088699E-2</v>
      </c>
      <c r="I28" s="2">
        <f>'1A-600-EIS-2（举例）'!B28*0.196</f>
        <v>0.22269181157920873</v>
      </c>
      <c r="J28" s="2">
        <f>'1A-600-EIS-2（举例）'!C28*-0.196</f>
        <v>1.8965658801423226E-2</v>
      </c>
      <c r="M28" s="1">
        <f>'1A-650-EIS-1（举例）'!B28*0.196</f>
        <v>0.28416492371840946</v>
      </c>
      <c r="N28" s="1">
        <f>'1A-650-EIS-1（举例）'!C28*-0.196</f>
        <v>2.9754598703135543E-2</v>
      </c>
      <c r="O28" s="5"/>
    </row>
    <row r="29" spans="1:15" x14ac:dyDescent="0.2">
      <c r="A29" s="3">
        <f>'.txt的名称'!B29*0.196</f>
        <v>0.16544272047497452</v>
      </c>
      <c r="B29" s="3">
        <f>'.txt的名称'!C29*-0.196</f>
        <v>9.2904062670262841E-3</v>
      </c>
      <c r="E29" s="4">
        <f>'1A-600-EIS-1（举例）'!B29*0.196</f>
        <v>0.1919191511762515</v>
      </c>
      <c r="F29" s="4">
        <f>'1A-600-EIS-1（举例）'!C29*-0.196</f>
        <v>1.7228242956309946E-2</v>
      </c>
      <c r="I29" s="2">
        <f>'1A-600-EIS-2（举例）'!B29*0.196</f>
        <v>0.22594600482733021</v>
      </c>
      <c r="J29" s="2">
        <f>'1A-600-EIS-2（举例）'!C29*-0.196</f>
        <v>2.0816926336921261E-2</v>
      </c>
      <c r="M29" s="1">
        <f>'1A-650-EIS-1（举例）'!B29*0.196</f>
        <v>0.28881244184950167</v>
      </c>
      <c r="N29" s="1">
        <f>'1A-650-EIS-1（举例）'!C29*-0.196</f>
        <v>3.3341548221711634E-2</v>
      </c>
      <c r="O29" s="5"/>
    </row>
    <row r="30" spans="1:15" x14ac:dyDescent="0.2">
      <c r="A30" s="3">
        <f>'.txt的名称'!B30*0.196</f>
        <v>0.16705386344150011</v>
      </c>
      <c r="B30" s="3">
        <f>'.txt的名称'!C30*-0.196</f>
        <v>1.0192904084238869E-2</v>
      </c>
      <c r="E30" s="4">
        <f>'1A-600-EIS-1（举例）'!B30*0.196</f>
        <v>0.19474350366375318</v>
      </c>
      <c r="F30" s="4">
        <f>'1A-600-EIS-1（举例）'!C30*-0.196</f>
        <v>1.8713855554373549E-2</v>
      </c>
      <c r="I30" s="2">
        <f>'1A-600-EIS-2（举例）'!B30*0.196</f>
        <v>0.22950366493034344</v>
      </c>
      <c r="J30" s="2">
        <f>'1A-600-EIS-2（举例）'!C30*-0.196</f>
        <v>2.2528375686056409E-2</v>
      </c>
      <c r="M30" s="1">
        <f>'1A-650-EIS-1（举例）'!B30*0.196</f>
        <v>0.29497367088124488</v>
      </c>
      <c r="N30" s="1">
        <f>'1A-650-EIS-1（举例）'!C30*-0.196</f>
        <v>3.6812333818283527E-2</v>
      </c>
      <c r="O30" s="5"/>
    </row>
    <row r="31" spans="1:15" x14ac:dyDescent="0.2">
      <c r="A31" s="3">
        <f>'.txt的名称'!B31*0.196</f>
        <v>0.16862229983946656</v>
      </c>
      <c r="B31" s="3">
        <f>'.txt的名称'!C31*-0.196</f>
        <v>1.0826093490996927E-2</v>
      </c>
      <c r="E31" s="4">
        <f>'1A-600-EIS-1（举例）'!B31*0.196</f>
        <v>0.19738864548557869</v>
      </c>
      <c r="F31" s="4">
        <f>'1A-600-EIS-1（举例）'!C31*-0.196</f>
        <v>2.0064095972203305E-2</v>
      </c>
      <c r="I31" s="2">
        <f>'1A-600-EIS-2（举例）'!B31*0.196</f>
        <v>0.23301900026035233</v>
      </c>
      <c r="J31" s="2">
        <f>'1A-600-EIS-2（举例）'!C31*-0.196</f>
        <v>2.3582319231457254E-2</v>
      </c>
      <c r="M31" s="1">
        <f>'1A-650-EIS-1（举例）'!B31*0.196</f>
        <v>0.30043467383548833</v>
      </c>
      <c r="N31" s="1">
        <f>'1A-650-EIS-1（举例）'!C31*-0.196</f>
        <v>3.9763726431658354E-2</v>
      </c>
      <c r="O31" s="5"/>
    </row>
    <row r="32" spans="1:15" x14ac:dyDescent="0.2">
      <c r="A32" s="3">
        <f>'.txt的名称'!B32*0.196</f>
        <v>0.17074396083119026</v>
      </c>
      <c r="B32" s="3">
        <f>'.txt的名称'!C32*-0.196</f>
        <v>1.1449095463298137E-2</v>
      </c>
      <c r="E32" s="4">
        <f>'1A-600-EIS-1（举例）'!B32*0.196</f>
        <v>0.20072371203289244</v>
      </c>
      <c r="F32" s="4">
        <f>'1A-600-EIS-1（举例）'!C32*-0.196</f>
        <v>2.1378162773520896E-2</v>
      </c>
      <c r="I32" s="2">
        <f>'1A-600-EIS-2（举例）'!B32*0.196</f>
        <v>0.23750081352263896</v>
      </c>
      <c r="J32" s="2">
        <f>'1A-600-EIS-2（举例）'!C32*-0.196</f>
        <v>2.4985717468215644E-2</v>
      </c>
      <c r="M32" s="1">
        <f>'1A-650-EIS-1（举例）'!B32*0.196</f>
        <v>0.30707820641763944</v>
      </c>
      <c r="N32" s="1">
        <f>'1A-650-EIS-1（举例）'!C32*-0.196</f>
        <v>4.2876219210050637E-2</v>
      </c>
      <c r="O32" s="5"/>
    </row>
    <row r="33" spans="1:15" x14ac:dyDescent="0.2">
      <c r="A33" s="3">
        <f>'.txt的名称'!B33*0.196</f>
        <v>0.17242950027311865</v>
      </c>
      <c r="B33" s="3">
        <f>'.txt的名称'!C33*-0.196</f>
        <v>1.2077476856464577E-2</v>
      </c>
      <c r="E33" s="4">
        <f>'1A-600-EIS-1（举例）'!B33*0.196</f>
        <v>0.20392071014824151</v>
      </c>
      <c r="F33" s="4">
        <f>'1A-600-EIS-1（举例）'!C33*-0.196</f>
        <v>2.2586955542799731E-2</v>
      </c>
      <c r="I33" s="2">
        <f>'1A-600-EIS-2（举例）'!B33*0.196</f>
        <v>0.24114798446000668</v>
      </c>
      <c r="J33" s="2">
        <f>'1A-600-EIS-2（举例）'!C33*-0.196</f>
        <v>2.6193098361533603E-2</v>
      </c>
      <c r="M33" s="1">
        <f>'1A-650-EIS-1（举例）'!B33*0.196</f>
        <v>0.3143529946585798</v>
      </c>
      <c r="N33" s="1">
        <f>'1A-650-EIS-1（举例）'!C33*-0.196</f>
        <v>4.5553641585261352E-2</v>
      </c>
      <c r="O33" s="5"/>
    </row>
    <row r="34" spans="1:15" x14ac:dyDescent="0.2">
      <c r="A34" s="3">
        <f>'.txt的名称'!B34*0.196</f>
        <v>0.17370518491673939</v>
      </c>
      <c r="B34" s="3">
        <f>'.txt的名称'!C34*-0.196</f>
        <v>1.2280582748947479E-2</v>
      </c>
      <c r="E34" s="4">
        <f>'1A-600-EIS-1（举例）'!B34*0.196</f>
        <v>0.20695899073797838</v>
      </c>
      <c r="F34" s="4">
        <f>'1A-600-EIS-1（举例）'!C34*-0.196</f>
        <v>2.3810856472445366E-2</v>
      </c>
      <c r="I34" s="2">
        <f>'1A-600-EIS-2（举例）'!B34*0.196</f>
        <v>0.24510744806244314</v>
      </c>
      <c r="J34" s="2">
        <f>'1A-600-EIS-2（举例）'!C34*-0.196</f>
        <v>2.7263172785984575E-2</v>
      </c>
      <c r="M34" s="1">
        <f>'1A-650-EIS-1（举例）'!B34*0.196</f>
        <v>0.32138859536376485</v>
      </c>
      <c r="N34" s="1">
        <f>'1A-650-EIS-1（举例）'!C34*-0.196</f>
        <v>4.7705627106937411E-2</v>
      </c>
      <c r="O34" s="5"/>
    </row>
    <row r="35" spans="1:15" x14ac:dyDescent="0.2">
      <c r="A35" s="3">
        <f>'.txt的名称'!B35*0.196</f>
        <v>0.17565883117516184</v>
      </c>
      <c r="B35" s="3">
        <f>'.txt的名称'!C35*-0.196</f>
        <v>1.3276520382983331E-2</v>
      </c>
      <c r="E35" s="4">
        <f>'1A-600-EIS-1（举例）'!B35*0.196</f>
        <v>0.21119968825212682</v>
      </c>
      <c r="F35" s="4">
        <f>'1A-600-EIS-1（举例）'!C35*-0.196</f>
        <v>2.5152967359995886E-2</v>
      </c>
      <c r="I35" s="2">
        <f>'1A-600-EIS-2（举例）'!B35*0.196</f>
        <v>0.25040242665602891</v>
      </c>
      <c r="J35" s="2">
        <f>'1A-600-EIS-2（举例）'!C35*-0.196</f>
        <v>2.8734613815444489E-2</v>
      </c>
      <c r="M35" s="1">
        <f>'1A-650-EIS-1（举例）'!B35*0.196</f>
        <v>0.3294784460501845</v>
      </c>
      <c r="N35" s="1">
        <f>'1A-650-EIS-1（举例）'!C35*-0.196</f>
        <v>4.9781543667898762E-2</v>
      </c>
      <c r="O35" s="5"/>
    </row>
    <row r="36" spans="1:15" x14ac:dyDescent="0.2">
      <c r="A36" s="3">
        <f>'.txt的名称'!B36*0.196</f>
        <v>0.17805460700000714</v>
      </c>
      <c r="B36" s="3">
        <f>'.txt的名称'!C36*-0.196</f>
        <v>1.4071218765603721E-2</v>
      </c>
      <c r="E36" s="4">
        <f>'1A-600-EIS-1（举例）'!B36*0.196</f>
        <v>0.21609589954598829</v>
      </c>
      <c r="F36" s="4">
        <f>'1A-600-EIS-1（举例）'!C36*-0.196</f>
        <v>2.5970118845369497E-2</v>
      </c>
      <c r="I36" s="2">
        <f>'1A-600-EIS-2（举例）'!B36*0.196</f>
        <v>0.25390808584649538</v>
      </c>
      <c r="J36" s="2">
        <f>'1A-600-EIS-2（举例）'!C36*-0.196</f>
        <v>2.8987734263118764E-2</v>
      </c>
      <c r="M36" s="1">
        <f>'1A-650-EIS-1（举例）'!B36*0.196</f>
        <v>0.33863934209097357</v>
      </c>
      <c r="N36" s="1">
        <f>'1A-650-EIS-1（举例）'!C36*-0.196</f>
        <v>5.2225961855473055E-2</v>
      </c>
      <c r="O36" s="5"/>
    </row>
    <row r="37" spans="1:15" x14ac:dyDescent="0.2">
      <c r="A37" s="3">
        <f>'.txt的名称'!B37*0.196</f>
        <v>0.18195011683246867</v>
      </c>
      <c r="B37" s="3">
        <f>'.txt的名称'!C37*-0.196</f>
        <v>1.4694342782414159E-2</v>
      </c>
      <c r="E37" s="4">
        <f>'1A-600-EIS-1（举例）'!B37*0.196</f>
        <v>0.21939339306248337</v>
      </c>
      <c r="F37" s="4">
        <f>'1A-600-EIS-1（举例）'!C37*-0.196</f>
        <v>2.7785712385072405E-2</v>
      </c>
      <c r="I37" s="2">
        <f>'1A-600-EIS-2（举例）'!B37*0.196</f>
        <v>0.25803614897217697</v>
      </c>
      <c r="J37" s="2">
        <f>'1A-600-EIS-2（举例）'!C37*-0.196</f>
        <v>2.8923981069241891E-2</v>
      </c>
      <c r="M37" s="1">
        <f>'1A-650-EIS-1（举例）'!B37*0.196</f>
        <v>0.34631185016374405</v>
      </c>
      <c r="N37" s="1">
        <f>'1A-650-EIS-1（举例）'!C37*-0.196</f>
        <v>5.3078367927895713E-2</v>
      </c>
      <c r="O37" s="5"/>
    </row>
    <row r="38" spans="1:15" x14ac:dyDescent="0.2">
      <c r="A38" s="3">
        <f>'.txt的名称'!B38*0.196</f>
        <v>0.18178602700429364</v>
      </c>
      <c r="B38" s="3">
        <f>'.txt的名称'!C38*-0.196</f>
        <v>1.5556835350567592E-2</v>
      </c>
      <c r="E38" s="4">
        <f>'1A-600-EIS-1（举例）'!B38*0.196</f>
        <v>0.22254419306039566</v>
      </c>
      <c r="F38" s="4">
        <f>'1A-600-EIS-1（举例）'!C38*-0.196</f>
        <v>2.8223268787626307E-2</v>
      </c>
      <c r="I38" s="2">
        <f>'1A-600-EIS-2（举例）'!B38*0.196</f>
        <v>0.26354926450980259</v>
      </c>
      <c r="J38" s="2">
        <f>'1A-600-EIS-2（举例）'!C38*-0.196</f>
        <v>2.9036003722845143E-2</v>
      </c>
      <c r="M38" s="1">
        <f>'1A-650-EIS-1（举例）'!B38*0.196</f>
        <v>0.35465833591514007</v>
      </c>
      <c r="N38" s="1">
        <f>'1A-650-EIS-1（举例）'!C38*-0.196</f>
        <v>5.4791797023006565E-2</v>
      </c>
      <c r="O38" s="5"/>
    </row>
    <row r="39" spans="1:15" x14ac:dyDescent="0.2">
      <c r="A39" s="3">
        <f>'.txt的名称'!B39*0.196</f>
        <v>0.18279305097514542</v>
      </c>
      <c r="B39" s="3">
        <f>'.txt的名称'!C39*-0.196</f>
        <v>1.3045699645441524E-2</v>
      </c>
      <c r="E39" s="4">
        <f>'1A-600-EIS-1（举例）'!B39*0.196</f>
        <v>0.22870361683263363</v>
      </c>
      <c r="F39" s="4">
        <f>'1A-600-EIS-1（举例）'!C39*-0.196</f>
        <v>2.6894013586845886E-2</v>
      </c>
      <c r="I39" s="2">
        <f>'1A-600-EIS-2（举例）'!B39*0.196</f>
        <v>0.26744060513530837</v>
      </c>
      <c r="J39" s="2">
        <f>'1A-600-EIS-2（举例）'!C39*-0.196</f>
        <v>3.2928114961706723E-2</v>
      </c>
      <c r="M39" s="1">
        <f>'1A-650-EIS-1（举例）'!B39*0.196</f>
        <v>0.36221729386259088</v>
      </c>
      <c r="N39" s="1">
        <f>'1A-650-EIS-1（举例）'!C39*-0.196</f>
        <v>5.5545398459367352E-2</v>
      </c>
      <c r="O39" s="5"/>
    </row>
    <row r="40" spans="1:15" x14ac:dyDescent="0.2">
      <c r="A40" s="3">
        <f>'.txt的名称'!B40*0.196</f>
        <v>0.18479563076033662</v>
      </c>
      <c r="B40" s="3">
        <f>'.txt的名称'!C40*-0.196</f>
        <v>1.4969608201415156E-2</v>
      </c>
      <c r="E40" s="4">
        <f>'1A-600-EIS-1（举例）'!B40*0.196</f>
        <v>0.23126348650591536</v>
      </c>
      <c r="F40" s="4">
        <f>'1A-600-EIS-1（举例）'!C40*-0.196</f>
        <v>2.9430572669776153E-2</v>
      </c>
      <c r="I40" s="2">
        <f>'1A-600-EIS-2（举例）'!B40*0.196</f>
        <v>0.27366385189130765</v>
      </c>
      <c r="J40" s="2">
        <f>'1A-600-EIS-2（举例）'!C40*-0.196</f>
        <v>3.3083371195031866E-2</v>
      </c>
      <c r="M40" s="1">
        <f>'1A-650-EIS-1（举例）'!B40*0.196</f>
        <v>0.37199030925338716</v>
      </c>
      <c r="N40" s="1">
        <f>'1A-650-EIS-1（举例）'!C40*-0.196</f>
        <v>5.5039032812598747E-2</v>
      </c>
      <c r="O40" s="5"/>
    </row>
    <row r="41" spans="1:15" x14ac:dyDescent="0.2">
      <c r="A41" s="3">
        <f>'.txt的名称'!B41*0.196</f>
        <v>0.1867574263785339</v>
      </c>
      <c r="B41" s="3">
        <f>'.txt的名称'!C41*-0.196</f>
        <v>1.345833315046689E-2</v>
      </c>
      <c r="E41" s="4">
        <f>'1A-600-EIS-1（举例）'!B41*0.196</f>
        <v>0.23617769318897208</v>
      </c>
      <c r="F41" s="4">
        <f>'1A-600-EIS-1（举例）'!C41*-0.196</f>
        <v>2.867959160867643E-2</v>
      </c>
      <c r="I41" s="2">
        <f>'1A-600-EIS-2（举例）'!B41*0.196</f>
        <v>0.27677610362340821</v>
      </c>
      <c r="J41" s="2">
        <f>'1A-600-EIS-2（举例）'!C41*-0.196</f>
        <v>3.336820295284703E-2</v>
      </c>
      <c r="M41" s="1">
        <f>'1A-650-EIS-1（举例）'!B41*0.196</f>
        <v>0.38050583629559759</v>
      </c>
      <c r="N41" s="1">
        <f>'1A-650-EIS-1（举例）'!C41*-0.196</f>
        <v>5.6375793665223516E-2</v>
      </c>
      <c r="O41" s="5"/>
    </row>
    <row r="42" spans="1:15" x14ac:dyDescent="0.2">
      <c r="A42" s="3">
        <f>'.txt的名称'!B42*0.196</f>
        <v>0.191101295460471</v>
      </c>
      <c r="B42" s="3">
        <f>'.txt的名称'!C42*-0.196</f>
        <v>1.5362811063407372E-2</v>
      </c>
      <c r="E42" s="4">
        <f>'1A-600-EIS-1（举例）'!B42*0.196</f>
        <v>0.2421895181838129</v>
      </c>
      <c r="F42" s="4">
        <f>'1A-600-EIS-1（举例）'!C42*-0.196</f>
        <v>2.9722997423099317E-2</v>
      </c>
      <c r="I42" s="2">
        <f>'1A-600-EIS-2（举例）'!B42*0.196</f>
        <v>0.28337291501164463</v>
      </c>
      <c r="J42" s="2">
        <f>'1A-600-EIS-2（举例）'!C42*-0.196</f>
        <v>3.1967886701550742E-2</v>
      </c>
      <c r="M42" s="1">
        <f>'1A-650-EIS-1（举例）'!B42*0.196</f>
        <v>0.38788344370829198</v>
      </c>
      <c r="N42" s="1">
        <f>'1A-650-EIS-1（举例）'!C42*-0.196</f>
        <v>5.7154653765082351E-2</v>
      </c>
      <c r="O42" s="5"/>
    </row>
    <row r="43" spans="1:15" x14ac:dyDescent="0.2">
      <c r="A43" s="3">
        <f>'.txt的名称'!B43*0.196</f>
        <v>0.19264446986267245</v>
      </c>
      <c r="B43" s="3">
        <f>'.txt的名称'!C43*-0.196</f>
        <v>1.5105811521158769E-2</v>
      </c>
      <c r="E43" s="4">
        <f>'1A-600-EIS-1（举例）'!B43*0.196</f>
        <v>0.24679318150505258</v>
      </c>
      <c r="F43" s="4">
        <f>'1A-600-EIS-1（举例）'!C43*-0.196</f>
        <v>2.9861837888271257E-2</v>
      </c>
      <c r="I43" s="2">
        <f>'1A-600-EIS-2（举例）'!B43*0.196</f>
        <v>0.28820681240035412</v>
      </c>
      <c r="J43" s="2">
        <f>'1A-600-EIS-2（举例）'!C43*-0.196</f>
        <v>3.2948441619126065E-2</v>
      </c>
      <c r="M43" s="1">
        <f>'1A-650-EIS-1（举例）'!B43*0.196</f>
        <v>0.39711160609647322</v>
      </c>
      <c r="N43" s="1">
        <f>'1A-650-EIS-1（举例）'!C43*-0.196</f>
        <v>5.6941710874480349E-2</v>
      </c>
      <c r="O43" s="5"/>
    </row>
    <row r="44" spans="1:15" x14ac:dyDescent="0.2">
      <c r="A44" s="3">
        <f>'.txt的名称'!B44*0.196</f>
        <v>0.19490666028678064</v>
      </c>
      <c r="B44" s="3">
        <f>'.txt的名称'!C44*-0.196</f>
        <v>1.5123030010408286E-2</v>
      </c>
      <c r="E44" s="4">
        <f>'1A-600-EIS-1（举例）'!B44*0.196</f>
        <v>0.25082099688341836</v>
      </c>
      <c r="F44" s="4">
        <f>'1A-600-EIS-1（举例）'!C44*-0.196</f>
        <v>2.9671455183956991E-2</v>
      </c>
      <c r="I44" s="2">
        <f>'1A-600-EIS-2（举例）'!B44*0.196</f>
        <v>0.29385806149733601</v>
      </c>
      <c r="J44" s="2">
        <f>'1A-600-EIS-2（举例）'!C44*-0.196</f>
        <v>3.1883902325193184E-2</v>
      </c>
      <c r="M44" s="1">
        <f>'1A-650-EIS-1（举例）'!B44*0.196</f>
        <v>0.40606739044175388</v>
      </c>
      <c r="N44" s="1">
        <f>'1A-650-EIS-1（举例）'!C44*-0.196</f>
        <v>5.7543277630975026E-2</v>
      </c>
      <c r="O44" s="5"/>
    </row>
    <row r="45" spans="1:15" x14ac:dyDescent="0.2">
      <c r="A45" s="3">
        <f>'.txt的名称'!B45*0.196</f>
        <v>0.19684509742537779</v>
      </c>
      <c r="B45" s="3">
        <f>'.txt的名称'!C45*-0.196</f>
        <v>1.449924640419877E-2</v>
      </c>
      <c r="E45" s="4">
        <f>'1A-600-EIS-1（举例）'!B45*0.196</f>
        <v>0.25625108833111226</v>
      </c>
      <c r="F45" s="4">
        <f>'1A-600-EIS-1（举例）'!C45*-0.196</f>
        <v>2.9264781815108117E-2</v>
      </c>
      <c r="I45" s="2">
        <f>'1A-600-EIS-2（举例）'!B45*0.196</f>
        <v>0.29828232185647452</v>
      </c>
      <c r="J45" s="2">
        <f>'1A-600-EIS-2（举例）'!C45*-0.196</f>
        <v>3.2824471898975263E-2</v>
      </c>
      <c r="M45" s="1">
        <f>'1A-650-EIS-1（举例）'!B45*0.196</f>
        <v>0.41530193504431612</v>
      </c>
      <c r="N45" s="1">
        <f>'1A-650-EIS-1（举例）'!C45*-0.196</f>
        <v>5.7531201311397412E-2</v>
      </c>
      <c r="O45" s="5"/>
    </row>
    <row r="46" spans="1:15" x14ac:dyDescent="0.2">
      <c r="A46" s="3">
        <f>'.txt的名称'!B46*0.196</f>
        <v>0.19988032421344962</v>
      </c>
      <c r="B46" s="3">
        <f>'.txt的名称'!C46*-0.196</f>
        <v>1.5088898429512998E-2</v>
      </c>
      <c r="E46" s="4">
        <f>'1A-600-EIS-1（举例）'!B46*0.196</f>
        <v>0.26025749547498683</v>
      </c>
      <c r="F46" s="4">
        <f>'1A-600-EIS-1（举例）'!C46*-0.196</f>
        <v>2.8320321875190103E-2</v>
      </c>
      <c r="I46" s="2">
        <f>'1A-600-EIS-2（举例）'!B46*0.196</f>
        <v>0.30429572572459174</v>
      </c>
      <c r="J46" s="2">
        <f>'1A-600-EIS-2（举例）'!C46*-0.196</f>
        <v>3.2470138734944122E-2</v>
      </c>
      <c r="M46" s="1">
        <f>'1A-650-EIS-1（举例）'!B46*0.196</f>
        <v>0.42570202256027884</v>
      </c>
      <c r="N46" s="1">
        <f>'1A-650-EIS-1（举例）'!C46*-0.196</f>
        <v>5.8135986848917014E-2</v>
      </c>
      <c r="O46" s="5"/>
    </row>
    <row r="47" spans="1:15" x14ac:dyDescent="0.2">
      <c r="A47" s="3">
        <f>'.txt的名称'!B47*0.196</f>
        <v>0.20295842502193889</v>
      </c>
      <c r="B47" s="3">
        <f>'.txt的名称'!C47*-0.196</f>
        <v>1.5713847528442342E-2</v>
      </c>
      <c r="E47" s="4">
        <f>'1A-600-EIS-1（举例）'!B47*0.196</f>
        <v>0.26441449971558217</v>
      </c>
      <c r="F47" s="4">
        <f>'1A-600-EIS-1（举例）'!C47*-0.196</f>
        <v>2.8835728067592603E-2</v>
      </c>
      <c r="I47" s="2">
        <f>'1A-600-EIS-2（举例）'!B47*0.196</f>
        <v>0.30937010474696314</v>
      </c>
      <c r="J47" s="2">
        <f>'1A-600-EIS-2（举例）'!C47*-0.196</f>
        <v>3.1332178657833595E-2</v>
      </c>
      <c r="M47" s="1">
        <f>'1A-650-EIS-1（举例）'!B47*0.196</f>
        <v>0.43574191748155489</v>
      </c>
      <c r="N47" s="1">
        <f>'1A-650-EIS-1（举例）'!C47*-0.196</f>
        <v>5.7368611580833818E-2</v>
      </c>
      <c r="O47" s="5"/>
    </row>
    <row r="48" spans="1:15" x14ac:dyDescent="0.2">
      <c r="A48" s="3">
        <f>'.txt的名称'!B48*0.196</f>
        <v>0.20412275050353842</v>
      </c>
      <c r="B48" s="3">
        <f>'.txt的名称'!C48*-0.196</f>
        <v>1.6247766986945252E-2</v>
      </c>
      <c r="E48" s="4">
        <f>'1A-600-EIS-1（举例）'!B48*0.196</f>
        <v>0.26839725311704565</v>
      </c>
      <c r="F48" s="4">
        <f>'1A-600-EIS-1（举例）'!C48*-0.196</f>
        <v>2.885339559490609E-2</v>
      </c>
      <c r="I48" s="2">
        <f>'1A-600-EIS-2（举例）'!B48*0.196</f>
        <v>0.31495548105683702</v>
      </c>
      <c r="J48" s="2">
        <f>'1A-600-EIS-2（举例）'!C48*-0.196</f>
        <v>3.0514521721124951E-2</v>
      </c>
      <c r="M48" s="1">
        <f>'1A-650-EIS-1（举例）'!B48*0.196</f>
        <v>0.44475668430710047</v>
      </c>
      <c r="N48" s="1">
        <f>'1A-650-EIS-1（举例）'!C48*-0.196</f>
        <v>5.5946718912334888E-2</v>
      </c>
      <c r="O48" s="5"/>
    </row>
    <row r="49" spans="1:15" x14ac:dyDescent="0.2">
      <c r="A49" s="3">
        <f>'.txt的名称'!B49*0.196</f>
        <v>0.2077438539897748</v>
      </c>
      <c r="B49" s="3">
        <f>'.txt的名称'!C49*-0.196</f>
        <v>1.4943585802404243E-2</v>
      </c>
      <c r="E49" s="4">
        <f>'1A-600-EIS-1（举例）'!B49*0.196</f>
        <v>0.27435748516723235</v>
      </c>
      <c r="F49" s="4">
        <f>'1A-600-EIS-1（举例）'!C49*-0.196</f>
        <v>2.7570909449894387E-2</v>
      </c>
      <c r="I49" s="2">
        <f>'1A-600-EIS-2（举例）'!B49*0.196</f>
        <v>0.32043955383286699</v>
      </c>
      <c r="J49" s="2">
        <f>'1A-600-EIS-2（举例）'!C49*-0.196</f>
        <v>2.852259630149194E-2</v>
      </c>
      <c r="M49" s="1">
        <f>'1A-650-EIS-1（举例）'!B49*0.196</f>
        <v>0.45500469880134869</v>
      </c>
      <c r="N49" s="1">
        <f>'1A-650-EIS-1（举例）'!C49*-0.196</f>
        <v>5.4105346014972362E-2</v>
      </c>
      <c r="O49" s="5"/>
    </row>
    <row r="50" spans="1:15" x14ac:dyDescent="0.2">
      <c r="A50" s="3">
        <f>'.txt的名称'!B50*0.196</f>
        <v>0.21163624933178588</v>
      </c>
      <c r="B50" s="3">
        <f>'.txt的名称'!C50*-0.196</f>
        <v>1.5224678963949098E-2</v>
      </c>
      <c r="E50" s="4">
        <f>'1A-600-EIS-1（举例）'!B50*0.196</f>
        <v>0.27918296694760669</v>
      </c>
      <c r="F50" s="4">
        <f>'1A-600-EIS-1（举例）'!C50*-0.196</f>
        <v>2.5994708305222606E-2</v>
      </c>
      <c r="I50" s="2">
        <f>'1A-600-EIS-2（举例）'!B50*0.196</f>
        <v>0.32460742867525028</v>
      </c>
      <c r="J50" s="2">
        <f>'1A-600-EIS-2（举例）'!C50*-0.196</f>
        <v>2.7723222897404691E-2</v>
      </c>
      <c r="M50" s="1">
        <f>'1A-650-EIS-1（举例）'!B50*0.196</f>
        <v>0.46425540490053507</v>
      </c>
      <c r="N50" s="1">
        <f>'1A-650-EIS-1（举例）'!C50*-0.196</f>
        <v>5.0299239235931617E-2</v>
      </c>
      <c r="O50" s="5"/>
    </row>
    <row r="51" spans="1:15" x14ac:dyDescent="0.2">
      <c r="A51" s="3">
        <f>'.txt的名称'!B51*0.196</f>
        <v>0.21353341304383341</v>
      </c>
      <c r="B51" s="3">
        <f>'.txt的名称'!C51*-0.196</f>
        <v>1.466359514409747E-2</v>
      </c>
      <c r="E51" s="4">
        <f>'1A-600-EIS-1（举例）'!B51*0.196</f>
        <v>0.28325088564996104</v>
      </c>
      <c r="F51" s="4">
        <f>'1A-600-EIS-1（举例）'!C51*-0.196</f>
        <v>2.3266158009702779E-2</v>
      </c>
      <c r="I51" s="2">
        <f>'1A-600-EIS-2（举例）'!B51*0.196</f>
        <v>0.33021824528045163</v>
      </c>
      <c r="J51" s="2">
        <f>'1A-600-EIS-2（举例）'!C51*-0.196</f>
        <v>2.5385957222453102E-2</v>
      </c>
      <c r="M51" s="1">
        <f>'1A-650-EIS-1（举例）'!B51*0.196</f>
        <v>0.47505624526085521</v>
      </c>
      <c r="N51" s="1">
        <f>'1A-650-EIS-1（举例）'!C51*-0.196</f>
        <v>4.7387052958369098E-2</v>
      </c>
      <c r="O51" s="5"/>
    </row>
    <row r="52" spans="1:15" x14ac:dyDescent="0.2">
      <c r="A52" s="3">
        <f>'.txt的名称'!B52*0.196</f>
        <v>0.21666543096082361</v>
      </c>
      <c r="B52" s="3">
        <f>'.txt的名称'!C52*-0.196</f>
        <v>1.3240812813131848E-2</v>
      </c>
      <c r="E52" s="4">
        <f>'1A-600-EIS-1（举例）'!B52*0.196</f>
        <v>0.28751072224351626</v>
      </c>
      <c r="F52" s="4">
        <f>'1A-600-EIS-1（举例）'!C52*-0.196</f>
        <v>2.1859078304634901E-2</v>
      </c>
      <c r="I52" s="2">
        <f>'1A-600-EIS-2（举例）'!B52*0.196</f>
        <v>0.33315114083081376</v>
      </c>
      <c r="J52" s="2">
        <f>'1A-600-EIS-2（举例）'!C52*-0.196</f>
        <v>2.2151992261581252E-2</v>
      </c>
      <c r="M52" s="1">
        <f>'1A-650-EIS-1（举例）'!B52*0.196</f>
        <v>0.48316211119314045</v>
      </c>
      <c r="N52" s="1">
        <f>'1A-650-EIS-1（举例）'!C52*-0.196</f>
        <v>4.3061737632671071E-2</v>
      </c>
      <c r="O52" s="5"/>
    </row>
    <row r="53" spans="1:15" x14ac:dyDescent="0.2">
      <c r="A53" s="3">
        <f>'.txt的名称'!B53*0.196</f>
        <v>0.21899275646192953</v>
      </c>
      <c r="B53" s="3">
        <f>'.txt的名称'!C53*-0.196</f>
        <v>1.1348564478072974E-2</v>
      </c>
      <c r="E53" s="4">
        <f>'1A-600-EIS-1（举例）'!B53*0.196</f>
        <v>0.2896197419115924</v>
      </c>
      <c r="F53" s="4">
        <f>'1A-600-EIS-1（举例）'!C53*-0.196</f>
        <v>1.8358237541412855E-2</v>
      </c>
      <c r="I53" s="2">
        <f>'1A-600-EIS-2（举例）'!B53*0.196</f>
        <v>0.33801743131298129</v>
      </c>
      <c r="J53" s="2">
        <f>'1A-600-EIS-2（举例）'!C53*-0.196</f>
        <v>1.9240198234307421E-2</v>
      </c>
      <c r="M53" s="1">
        <f>'1A-650-EIS-1（举例）'!B53*0.196</f>
        <v>0.49062839668878594</v>
      </c>
      <c r="N53" s="1">
        <f>'1A-650-EIS-1（举例）'!C53*-0.196</f>
        <v>4.0438131901176802E-2</v>
      </c>
      <c r="O53" s="5"/>
    </row>
    <row r="54" spans="1:15" x14ac:dyDescent="0.2">
      <c r="A54" s="3">
        <f>'.txt的名称'!B54*0.196</f>
        <v>0.21949819669175438</v>
      </c>
      <c r="B54" s="3">
        <f>'.txt的名称'!C54*-0.196</f>
        <v>1.0550529350924941E-2</v>
      </c>
      <c r="E54" s="4">
        <f>'1A-600-EIS-1（举例）'!B54*0.196</f>
        <v>0.29339806860743206</v>
      </c>
      <c r="F54" s="4">
        <f>'1A-600-EIS-1（举例）'!C54*-0.196</f>
        <v>1.5902757686846281E-2</v>
      </c>
      <c r="I54" s="2">
        <f>'1A-600-EIS-2（举例）'!B54*0.196</f>
        <v>0.34146163623016623</v>
      </c>
      <c r="J54" s="2">
        <f>'1A-600-EIS-2（举例）'!C54*-0.196</f>
        <v>1.6802253660175237E-2</v>
      </c>
      <c r="M54" s="1">
        <f>'1A-650-EIS-1（举例）'!B54*0.196</f>
        <v>0.49565721663783591</v>
      </c>
      <c r="N54" s="1">
        <f>'1A-650-EIS-1（举例）'!C54*-0.196</f>
        <v>3.3006189073983193E-2</v>
      </c>
      <c r="O54" s="5"/>
    </row>
    <row r="55" spans="1:15" x14ac:dyDescent="0.2">
      <c r="A55" s="3">
        <f>'.txt的名称'!B55*0.196</f>
        <v>0.22027943523306026</v>
      </c>
      <c r="B55" s="3">
        <f>'.txt的名称'!C55*-0.196</f>
        <v>8.9139213778783571E-3</v>
      </c>
      <c r="E55" s="4">
        <f>'1A-600-EIS-1（举例）'!B55*0.196</f>
        <v>0.29378162057769031</v>
      </c>
      <c r="F55" s="4">
        <f>'1A-600-EIS-1（举例）'!C55*-0.196</f>
        <v>1.3473573506160103E-2</v>
      </c>
      <c r="I55" s="2">
        <f>'1A-600-EIS-2（举例）'!B55*0.196</f>
        <v>0.34552519296400225</v>
      </c>
      <c r="J55" s="2">
        <f>'1A-600-EIS-2（举例）'!C55*-0.196</f>
        <v>1.6040388713292827E-2</v>
      </c>
      <c r="M55" s="1">
        <f>'1A-650-EIS-1（举例）'!B55*0.196</f>
        <v>0.50269014255770827</v>
      </c>
      <c r="N55" s="1">
        <f>'1A-650-EIS-1（举例）'!C55*-0.196</f>
        <v>2.645391505285578E-2</v>
      </c>
      <c r="O55" s="5"/>
    </row>
    <row r="56" spans="1:15" x14ac:dyDescent="0.2">
      <c r="A56" s="3">
        <f>'.txt的名称'!B56*0.196</f>
        <v>0.22216142886283163</v>
      </c>
      <c r="B56" s="3">
        <f>'.txt的名称'!C56*-0.196</f>
        <v>7.3941326616264163E-3</v>
      </c>
      <c r="E56" s="4">
        <f>'1A-600-EIS-1（举例）'!B56*0.196</f>
        <v>0.29580054522104049</v>
      </c>
      <c r="F56" s="4">
        <f>'1A-600-EIS-1（举例）'!C56*-0.196</f>
        <v>1.0979897609101688E-2</v>
      </c>
      <c r="I56" s="2">
        <f>'1A-600-EIS-2（举例）'!B56*0.196</f>
        <v>0.34607811224863888</v>
      </c>
      <c r="J56" s="2">
        <f>'1A-600-EIS-2（举例）'!C56*-0.196</f>
        <v>1.2173625284382308E-2</v>
      </c>
      <c r="M56" s="1">
        <f>'1A-650-EIS-1（举例）'!B56*0.196</f>
        <v>0.50514300156107095</v>
      </c>
      <c r="N56" s="1">
        <f>'1A-650-EIS-1（举例）'!C56*-0.196</f>
        <v>2.2280046072803289E-2</v>
      </c>
      <c r="O56" s="5"/>
    </row>
    <row r="57" spans="1:15" x14ac:dyDescent="0.2">
      <c r="A57" s="3">
        <f>'.txt的名称'!B57*0.196</f>
        <v>0.22467407106688797</v>
      </c>
      <c r="B57" s="3">
        <f>'.txt的名称'!C57*-0.196</f>
        <v>6.3000577472217822E-3</v>
      </c>
      <c r="E57" s="4">
        <f>'1A-600-EIS-1（举例）'!B57*0.196</f>
        <v>0.2959556411533697</v>
      </c>
      <c r="F57" s="4">
        <f>'1A-600-EIS-1（举例）'!C57*-0.196</f>
        <v>9.373753018429418E-3</v>
      </c>
      <c r="I57" s="2">
        <f>'1A-600-EIS-2（举例）'!B57*0.196</f>
        <v>0.34793217049503894</v>
      </c>
      <c r="J57" s="2">
        <f>'1A-600-EIS-2（举例）'!C57*-0.196</f>
        <v>1.012861715355699E-2</v>
      </c>
      <c r="M57" s="1">
        <f>'1A-650-EIS-1（举例）'!B57*0.196</f>
        <v>0.51057067640644749</v>
      </c>
      <c r="N57" s="1">
        <f>'1A-650-EIS-1（举例）'!C57*-0.196</f>
        <v>1.8283019709731431E-2</v>
      </c>
      <c r="O57" s="5"/>
    </row>
    <row r="58" spans="1:15" x14ac:dyDescent="0.2">
      <c r="A58" s="3">
        <f>'.txt的名称'!B58*0.196</f>
        <v>0.22400470634681918</v>
      </c>
      <c r="B58" s="3">
        <f>'.txt的名称'!C58*-0.196</f>
        <v>4.0227810941542335E-3</v>
      </c>
      <c r="E58" s="4">
        <f>'1A-600-EIS-1（举例）'!B58*0.196</f>
        <v>0.29644161556696819</v>
      </c>
      <c r="F58" s="4">
        <f>'1A-600-EIS-1（举例）'!C58*-0.196</f>
        <v>6.8867318747445659E-3</v>
      </c>
      <c r="I58" s="2">
        <f>'1A-600-EIS-2（举例）'!B58*0.196</f>
        <v>0.34888168136389708</v>
      </c>
      <c r="J58" s="2">
        <f>'1A-600-EIS-2（举例）'!C58*-0.196</f>
        <v>7.8068844340722175E-3</v>
      </c>
      <c r="M58" s="1">
        <f>'1A-650-EIS-1（举例）'!B58*0.196</f>
        <v>0.5151217085468387</v>
      </c>
      <c r="N58" s="1">
        <f>'1A-650-EIS-1（举例）'!C58*-0.196</f>
        <v>1.6493556456095324E-2</v>
      </c>
      <c r="O58" s="5"/>
    </row>
    <row r="59" spans="1:15" x14ac:dyDescent="0.2">
      <c r="A59" s="3">
        <f>'.txt的名称'!B59*0.196</f>
        <v>0.22475057484131111</v>
      </c>
      <c r="B59" s="3">
        <f>'.txt的名称'!C59*-0.196</f>
        <v>2.9433062346290177E-3</v>
      </c>
      <c r="E59" s="4">
        <f>'1A-600-EIS-1（举例）'!B59*0.196</f>
        <v>0.29547316905412602</v>
      </c>
      <c r="F59" s="4">
        <f>'1A-600-EIS-1（举例）'!C59*-0.196</f>
        <v>5.8422963695422764E-3</v>
      </c>
      <c r="I59" s="2">
        <f>'1A-600-EIS-2（举例）'!B59*0.196</f>
        <v>0.35112131454845819</v>
      </c>
      <c r="J59" s="2">
        <f>'1A-600-EIS-2（举例）'!C59*-0.196</f>
        <v>6.7126667146580913E-3</v>
      </c>
      <c r="M59" s="1">
        <f>'1A-650-EIS-1（举例）'!B59*0.196</f>
        <v>0.51995147644163031</v>
      </c>
      <c r="N59" s="1">
        <f>'1A-650-EIS-1（举例）'!C59*-0.196</f>
        <v>1.4004393374166714E-2</v>
      </c>
      <c r="O59" s="5"/>
    </row>
    <row r="60" spans="1:15" x14ac:dyDescent="0.2">
      <c r="A60" s="3">
        <f>'.txt的名称'!B60*0.196</f>
        <v>0.22504284151849221</v>
      </c>
      <c r="B60" s="3">
        <f>'.txt的名称'!C60*-0.196</f>
        <v>2.1725881794524208E-3</v>
      </c>
      <c r="E60" s="4">
        <f>'1A-600-EIS-1（举例）'!B60*0.196</f>
        <v>0.29566362592475132</v>
      </c>
      <c r="F60" s="4">
        <f>'1A-600-EIS-1（举例）'!C60*-0.196</f>
        <v>4.5705651553010181E-3</v>
      </c>
      <c r="I60" s="2">
        <f>'1A-600-EIS-2（举例）'!B60*0.196</f>
        <v>0.35381547978998146</v>
      </c>
      <c r="J60" s="2">
        <f>'1A-600-EIS-2（举例）'!C60*-0.196</f>
        <v>3.3339039536536474E-3</v>
      </c>
      <c r="M60" s="1">
        <f>'1A-650-EIS-1（举例）'!B60*0.196</f>
        <v>0.52386041034421105</v>
      </c>
      <c r="N60" s="1">
        <f>'1A-650-EIS-1（举例）'!C60*-0.196</f>
        <v>1.0510032281718059E-2</v>
      </c>
      <c r="O60" s="5"/>
    </row>
    <row r="61" spans="1:15" x14ac:dyDescent="0.2">
      <c r="A61" s="3">
        <f>'.txt的名称'!B61*0.196</f>
        <v>0.22363030872774145</v>
      </c>
      <c r="B61" s="3">
        <f>'.txt的名称'!C61*-0.196</f>
        <v>2.5237642587033577E-3</v>
      </c>
      <c r="E61" s="4">
        <f>'1A-600-EIS-1（举例）'!B61*0.196</f>
        <v>0.29446603983142028</v>
      </c>
      <c r="F61" s="4">
        <f>'1A-600-EIS-1（举例）'!C61*-0.196</f>
        <v>2.1025399323335121E-3</v>
      </c>
      <c r="I61" s="2">
        <f>'1A-600-EIS-2（举例）'!B61*0.196</f>
        <v>0.35507778245897048</v>
      </c>
      <c r="J61" s="2">
        <f>'1A-600-EIS-2（举例）'!C61*-0.196</f>
        <v>3.6353089520550913E-3</v>
      </c>
      <c r="M61" s="1">
        <f>'1A-650-EIS-1（举例）'!B61*0.196</f>
        <v>0.52395634653290513</v>
      </c>
      <c r="N61" s="1">
        <f>'1A-650-EIS-1（举例）'!C61*-0.196</f>
        <v>9.1506244749001917E-3</v>
      </c>
      <c r="O61" s="5"/>
    </row>
    <row r="62" spans="1:15" x14ac:dyDescent="0.2">
      <c r="A62" s="3">
        <f>'.txt的名称'!B62*0.196</f>
        <v>0.22327886034201275</v>
      </c>
      <c r="B62" s="3">
        <f>'.txt的名称'!C62*-0.196</f>
        <v>2.5208242541959066E-3</v>
      </c>
      <c r="E62" s="4">
        <f>'1A-600-EIS-1（举例）'!B62*0.196</f>
        <v>0.29500003642138906</v>
      </c>
      <c r="F62" s="4">
        <f>'1A-600-EIS-1（举例）'!C62*-0.196</f>
        <v>2.4416251806500121E-3</v>
      </c>
      <c r="I62" s="2">
        <f>'1A-600-EIS-2（举例）'!B62*0.196</f>
        <v>0.3571590692334784</v>
      </c>
      <c r="J62" s="2">
        <f>'1A-600-EIS-2（举例）'!C62*-0.196</f>
        <v>3.2038230239776182E-3</v>
      </c>
      <c r="M62" s="1">
        <f>'1A-650-EIS-1（举例）'!B62*0.196</f>
        <v>0.53118717718789443</v>
      </c>
      <c r="N62" s="1">
        <f>'1A-650-EIS-1（举例）'!C62*-0.196</f>
        <v>6.0156076415152733E-3</v>
      </c>
      <c r="O6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66A7-9539-44A9-B24E-84D48FA202A2}">
  <dimension ref="A1:P63"/>
  <sheetViews>
    <sheetView workbookViewId="0">
      <selection activeCell="Q7" sqref="Q7"/>
    </sheetView>
  </sheetViews>
  <sheetFormatPr defaultRowHeight="14.25" x14ac:dyDescent="0.2"/>
  <cols>
    <col min="1" max="4" width="9" style="3"/>
    <col min="5" max="8" width="9" style="4"/>
    <col min="9" max="12" width="9" style="2"/>
    <col min="13" max="16" width="9" style="1"/>
  </cols>
  <sheetData>
    <row r="1" spans="1:16" x14ac:dyDescent="0.2">
      <c r="A1" s="3" t="s">
        <v>4</v>
      </c>
      <c r="B1" s="3" cm="1">
        <f t="array" ref="B1">LOOKUP(2,1/(A:A&lt;&gt;""),A:A)</f>
        <v>6.7805360824724076E-2</v>
      </c>
      <c r="D1" s="3" t="str" cm="1">
        <f t="array" ref="D1">LOOKUP(2,1/(C:C&lt;&gt;""),C:C)</f>
        <v>EIS拟合</v>
      </c>
      <c r="F1" s="4" cm="1">
        <f t="array" ref="F1">LOOKUP(2,1/(E:E&lt;&gt;""),E:E)</f>
        <v>0.11926884656297546</v>
      </c>
      <c r="H1" s="4" t="str" cm="1">
        <f t="array" ref="H1">LOOKUP(2,1/(G:G&lt;&gt;""),G:G)</f>
        <v>EIS拟合</v>
      </c>
      <c r="J1" s="2" cm="1">
        <f t="array" ref="J1">LOOKUP(2,1/(I:I&lt;&gt;""),I:I)</f>
        <v>0.15091375374180893</v>
      </c>
      <c r="L1" s="2" t="str" cm="1">
        <f t="array" ref="L1">LOOKUP(2,1/(K:K&lt;&gt;""),K:K)</f>
        <v>拟合</v>
      </c>
      <c r="N1" s="1" cm="1">
        <f t="array" ref="N1">LOOKUP(2,1/(M:M&lt;&gt;""),M:M)</f>
        <v>0.26943127127136313</v>
      </c>
      <c r="P1" s="1" t="str" cm="1">
        <f t="array" ref="P1">LOOKUP(2,1/(O:O&lt;&gt;""),O:O)</f>
        <v>拟合</v>
      </c>
    </row>
    <row r="2" spans="1:16" x14ac:dyDescent="0.2">
      <c r="C2" s="3" t="s">
        <v>15</v>
      </c>
      <c r="E2" s="4" t="s">
        <v>6</v>
      </c>
      <c r="G2" s="4" t="s">
        <v>15</v>
      </c>
      <c r="I2" s="2" t="s">
        <v>8</v>
      </c>
      <c r="K2" s="2" t="s">
        <v>11</v>
      </c>
      <c r="M2" s="1" t="s">
        <v>10</v>
      </c>
      <c r="O2" s="1" t="s">
        <v>14</v>
      </c>
    </row>
    <row r="3" spans="1:16" x14ac:dyDescent="0.2">
      <c r="A3" s="3" cm="1">
        <f t="array" ref="A3">RΩ汇总!A2-INDEX(RΩ汇总!A:A,MATCH(MIN(IF(RΩ汇总!B:B&gt;0,RΩ汇总!B:B)),RΩ汇总!B:B,0))</f>
        <v>-5.2089553795325871E-3</v>
      </c>
      <c r="B3" s="3">
        <v>-0.25286846818892461</v>
      </c>
      <c r="C3" s="3" t="e" cm="1">
        <f t="array" ref="C3">RΩ汇总!C2-INDEX(RΩ汇总!C:C,MATCH(MIN(IF(RΩ汇总!D:D&gt;0,RΩ汇总!D:D)),RΩ汇总!D:D,0))</f>
        <v>#VALUE!</v>
      </c>
      <c r="D3" s="3" t="str">
        <f>RΩ汇总!D2</f>
        <v>EIS-ECM结果的第三列*-1</v>
      </c>
      <c r="E3" s="4" cm="1">
        <f t="array" ref="E3">RΩ汇总!E2-INDEX(RΩ汇总!E:E,MATCH(MIN(IF(RΩ汇总!F:F&gt;0,RΩ汇总!F:F)),RΩ汇总!F:F,0))</f>
        <v>8.3671168209565688E-2</v>
      </c>
      <c r="F3" s="4">
        <v>-0.2790585457484997</v>
      </c>
      <c r="G3" s="4" t="e" cm="1">
        <f t="array" ref="G3">RΩ汇总!G2-INDEX(RΩ汇总!G:G,MATCH(MIN(IF(RΩ汇总!G:G&gt;0,RΩ汇总!G:G)),RΩ汇总!G:G,0))</f>
        <v>#VALUE!</v>
      </c>
      <c r="H3" s="4" t="str">
        <f>RΩ汇总!H2</f>
        <v>EIS-ECM结果的第三列*-1</v>
      </c>
      <c r="I3" s="2" cm="1">
        <f t="array" ref="I3">RΩ汇总!I2-INDEX(RΩ汇总!I:I,MATCH(MIN(IF(RΩ汇总!J:J&gt;0,RΩ汇总!J:J)),RΩ汇总!J:J,0))</f>
        <v>4.4207344619007605E-2</v>
      </c>
      <c r="J3" s="2">
        <v>-0.24340305929665096</v>
      </c>
      <c r="K3" s="2" t="e" cm="1">
        <f t="array" ref="K3">RΩ汇总!K2-INDEX(RΩ汇总!K:K,MATCH(MIN(IF(RΩ汇总!K:K&gt;0,RΩ汇总!K:K)),RΩ汇总!K:K,0))</f>
        <v>#VALUE!</v>
      </c>
      <c r="L3" s="2" t="str">
        <f>RΩ汇总!L2</f>
        <v>EIS-ECM结果的第三列*-1</v>
      </c>
      <c r="M3" s="1" cm="1">
        <f t="array" ref="M3">RΩ汇总!M2-INDEX(RΩ汇总!M:M,MATCH(MIN(IF(RΩ汇总!N:N&gt;0,RΩ汇总!N:N)),RΩ汇总!N:N,0))</f>
        <v>4.4012258731334075E-2</v>
      </c>
      <c r="N3" s="1">
        <v>-0.3398436651292091</v>
      </c>
      <c r="O3" s="1" t="e" cm="1">
        <f t="array" ref="O3">RΩ汇总!O2-INDEX(RΩ汇总!O:O,MATCH(MIN(IF(RΩ汇总!O:O&gt;0,RΩ汇总!O:O)),RΩ汇总!O:O,0))</f>
        <v>#VALUE!</v>
      </c>
      <c r="P3" s="1" t="str">
        <f>RΩ汇总!P2</f>
        <v>EIS-ECM结果的第三列*-1</v>
      </c>
    </row>
    <row r="4" spans="1:16" x14ac:dyDescent="0.2">
      <c r="A4" s="3" cm="1">
        <f t="array" ref="A4">RΩ汇总!A3-INDEX(RΩ汇总!A:A,MATCH(MIN(IF(RΩ汇总!B:B&gt;0,RΩ汇总!B:B)),RΩ汇总!B:B,0))</f>
        <v>-5.2231403003966947E-3</v>
      </c>
      <c r="B4" s="3">
        <v>-0.20092249944123391</v>
      </c>
      <c r="C4" s="3" t="e" cm="1">
        <f t="array" ref="C4">RΩ汇总!C3-INDEX(RΩ汇总!C:C,MATCH(MIN(IF(RΩ汇总!D:D&gt;0,RΩ汇总!D:D)),RΩ汇总!D:D,0))</f>
        <v>#N/A</v>
      </c>
      <c r="D4" s="3">
        <f>RΩ汇总!D3</f>
        <v>0</v>
      </c>
      <c r="E4" s="4" cm="1">
        <f t="array" ref="E4">RΩ汇总!E3-INDEX(RΩ汇总!E:E,MATCH(MIN(IF(RΩ汇总!F:F&gt;0,RΩ汇总!F:F)),RΩ汇总!F:F,0))</f>
        <v>-8.850009932083458E-3</v>
      </c>
      <c r="F4" s="4">
        <v>-0.20010395284059798</v>
      </c>
      <c r="G4" s="4" t="e" cm="1">
        <f t="array" ref="G4">RΩ汇总!G3-INDEX(RΩ汇总!G:G,MATCH(MIN(IF(RΩ汇总!G:G&gt;0,RΩ汇总!G:G)),RΩ汇总!G:G,0))</f>
        <v>#N/A</v>
      </c>
      <c r="H4" s="4">
        <f>RΩ汇总!H3</f>
        <v>0</v>
      </c>
      <c r="I4" s="2" cm="1">
        <f t="array" ref="I4">RΩ汇总!I3-INDEX(RΩ汇总!I:I,MATCH(MIN(IF(RΩ汇总!J:J&gt;0,RΩ汇总!J:J)),RΩ汇总!J:J,0))</f>
        <v>-9.9205579892583107E-3</v>
      </c>
      <c r="J4" s="2">
        <v>-0.2004248297919507</v>
      </c>
      <c r="K4" s="2" t="e" cm="1">
        <f t="array" ref="K4">RΩ汇总!K3-INDEX(RΩ汇总!K:K,MATCH(MIN(IF(RΩ汇总!K:K&gt;0,RΩ汇总!K:K)),RΩ汇总!K:K,0))</f>
        <v>#N/A</v>
      </c>
      <c r="L4" s="2">
        <f>RΩ汇总!L3</f>
        <v>0</v>
      </c>
      <c r="M4" s="1" cm="1">
        <f t="array" ref="M4">RΩ汇总!M3-INDEX(RΩ汇总!M:M,MATCH(MIN(IF(RΩ汇总!N:N&gt;0,RΩ汇总!N:N)),RΩ汇总!N:N,0))</f>
        <v>-1.2340264412114471E-2</v>
      </c>
      <c r="N4" s="1">
        <v>-0.20068061563854642</v>
      </c>
      <c r="O4" s="1" t="e" cm="1">
        <f t="array" ref="O4">RΩ汇总!O3-INDEX(RΩ汇总!O:O,MATCH(MIN(IF(RΩ汇总!O:O&gt;0,RΩ汇总!O:O)),RΩ汇总!O:O,0))</f>
        <v>#N/A</v>
      </c>
      <c r="P4" s="1">
        <f>RΩ汇总!P3</f>
        <v>0</v>
      </c>
    </row>
    <row r="5" spans="1:16" x14ac:dyDescent="0.2">
      <c r="A5" s="3" cm="1">
        <f t="array" ref="A5">RΩ汇总!A4-INDEX(RΩ汇总!A:A,MATCH(MIN(IF(RΩ汇总!B:B&gt;0,RΩ汇总!B:B)),RΩ汇总!B:B,0))</f>
        <v>-4.2720811921911073E-3</v>
      </c>
      <c r="B5" s="3">
        <v>-0.15962746319419385</v>
      </c>
      <c r="C5" s="3" t="e" cm="1">
        <f t="array" ref="C5">RΩ汇总!C4-INDEX(RΩ汇总!C:C,MATCH(MIN(IF(RΩ汇总!D:D&gt;0,RΩ汇总!D:D)),RΩ汇总!D:D,0))</f>
        <v>#N/A</v>
      </c>
      <c r="D5" s="3">
        <f>RΩ汇总!D4</f>
        <v>0</v>
      </c>
      <c r="E5" s="4" cm="1">
        <f t="array" ref="E5">RΩ汇总!E4-INDEX(RΩ汇总!E:E,MATCH(MIN(IF(RΩ汇总!F:F&gt;0,RΩ汇总!F:F)),RΩ汇总!F:F,0))</f>
        <v>-5.7874370951240262E-3</v>
      </c>
      <c r="F5" s="4">
        <v>-0.15917014127914694</v>
      </c>
      <c r="G5" s="4" t="e" cm="1">
        <f t="array" ref="G5">RΩ汇总!G4-INDEX(RΩ汇总!G:G,MATCH(MIN(IF(RΩ汇总!G:G&gt;0,RΩ汇总!G:G)),RΩ汇总!G:G,0))</f>
        <v>#N/A</v>
      </c>
      <c r="H5" s="4">
        <f>RΩ汇总!H4</f>
        <v>0</v>
      </c>
      <c r="I5" s="2" cm="1">
        <f t="array" ref="I5">RΩ汇总!I4-INDEX(RΩ汇总!I:I,MATCH(MIN(IF(RΩ汇总!J:J&gt;0,RΩ汇总!J:J)),RΩ汇总!J:J,0))</f>
        <v>-5.4009165305757278E-3</v>
      </c>
      <c r="J5" s="2">
        <v>-0.1594016563248026</v>
      </c>
      <c r="K5" s="2" t="e" cm="1">
        <f t="array" ref="K5">RΩ汇总!K4-INDEX(RΩ汇总!K:K,MATCH(MIN(IF(RΩ汇总!K:K&gt;0,RΩ汇总!K:K)),RΩ汇总!K:K,0))</f>
        <v>#N/A</v>
      </c>
      <c r="L5" s="2">
        <f>RΩ汇总!L4</f>
        <v>0</v>
      </c>
      <c r="M5" s="1" cm="1">
        <f t="array" ref="M5">RΩ汇总!M4-INDEX(RΩ汇总!M:M,MATCH(MIN(IF(RΩ汇总!N:N&gt;0,RΩ汇总!N:N)),RΩ汇总!N:N,0))</f>
        <v>-6.3071711443204448E-3</v>
      </c>
      <c r="N5" s="1">
        <v>-0.1588172602514839</v>
      </c>
      <c r="O5" s="1" t="e" cm="1">
        <f t="array" ref="O5">RΩ汇总!O4-INDEX(RΩ汇总!O:O,MATCH(MIN(IF(RΩ汇总!O:O&gt;0,RΩ汇总!O:O)),RΩ汇总!O:O,0))</f>
        <v>#N/A</v>
      </c>
      <c r="P5" s="1">
        <f>RΩ汇总!P4</f>
        <v>0</v>
      </c>
    </row>
    <row r="6" spans="1:16" x14ac:dyDescent="0.2">
      <c r="A6" s="3" cm="1">
        <f t="array" ref="A6">RΩ汇总!A5-INDEX(RΩ汇总!A:A,MATCH(MIN(IF(RΩ汇总!B:B&gt;0,RΩ汇总!B:B)),RΩ汇总!B:B,0))</f>
        <v>-4.2895991052109284E-3</v>
      </c>
      <c r="B6" s="3">
        <v>-0.12680084437161973</v>
      </c>
      <c r="C6" s="3" t="e" cm="1">
        <f t="array" ref="C6">RΩ汇总!C5-INDEX(RΩ汇总!C:C,MATCH(MIN(IF(RΩ汇总!D:D&gt;0,RΩ汇总!D:D)),RΩ汇总!D:D,0))</f>
        <v>#N/A</v>
      </c>
      <c r="D6" s="3">
        <f>RΩ汇总!D5</f>
        <v>0</v>
      </c>
      <c r="E6" s="4" cm="1">
        <f t="array" ref="E6">RΩ汇总!E5-INDEX(RΩ汇总!E:E,MATCH(MIN(IF(RΩ汇总!F:F&gt;0,RΩ汇总!F:F)),RΩ汇总!F:F,0))</f>
        <v>-4.7234556180066889E-3</v>
      </c>
      <c r="F6" s="4">
        <v>-0.12594316672251271</v>
      </c>
      <c r="G6" s="4" t="e" cm="1">
        <f t="array" ref="G6">RΩ汇总!G5-INDEX(RΩ汇总!G:G,MATCH(MIN(IF(RΩ汇总!G:G&gt;0,RΩ汇总!G:G)),RΩ汇总!G:G,0))</f>
        <v>#N/A</v>
      </c>
      <c r="H6" s="4">
        <f>RΩ汇总!H5</f>
        <v>0</v>
      </c>
      <c r="I6" s="2" cm="1">
        <f t="array" ref="I6">RΩ汇总!I5-INDEX(RΩ汇总!I:I,MATCH(MIN(IF(RΩ汇总!J:J&gt;0,RΩ汇总!J:J)),RΩ汇总!J:J,0))</f>
        <v>-5.2940862539919142E-3</v>
      </c>
      <c r="J6" s="2">
        <v>-0.12610425588029051</v>
      </c>
      <c r="K6" s="2" t="e" cm="1">
        <f t="array" ref="K6">RΩ汇总!K5-INDEX(RΩ汇总!K:K,MATCH(MIN(IF(RΩ汇总!K:K&gt;0,RΩ汇总!K:K)),RΩ汇总!K:K,0))</f>
        <v>#N/A</v>
      </c>
      <c r="L6" s="2">
        <f>RΩ汇总!L5</f>
        <v>0</v>
      </c>
      <c r="M6" s="1" cm="1">
        <f t="array" ref="M6">RΩ汇总!M5-INDEX(RΩ汇总!M:M,MATCH(MIN(IF(RΩ汇总!N:N&gt;0,RΩ汇总!N:N)),RΩ汇总!N:N,0))</f>
        <v>-5.4704782320666445E-3</v>
      </c>
      <c r="N6" s="1">
        <v>-0.12542114630795442</v>
      </c>
      <c r="O6" s="1" t="e" cm="1">
        <f t="array" ref="O6">RΩ汇总!O5-INDEX(RΩ汇总!O:O,MATCH(MIN(IF(RΩ汇总!O:O&gt;0,RΩ汇总!O:O)),RΩ汇总!O:O,0))</f>
        <v>#N/A</v>
      </c>
      <c r="P6" s="1">
        <f>RΩ汇总!P5</f>
        <v>0</v>
      </c>
    </row>
    <row r="7" spans="1:16" x14ac:dyDescent="0.2">
      <c r="A7" s="3" cm="1">
        <f t="array" ref="A7">RΩ汇总!A6-INDEX(RΩ汇总!A:A,MATCH(MIN(IF(RΩ汇总!B:B&gt;0,RΩ汇总!B:B)),RΩ汇总!B:B,0))</f>
        <v>-3.287375866685649E-3</v>
      </c>
      <c r="B7" s="3">
        <v>-9.8694009144193295E-2</v>
      </c>
      <c r="C7" s="3" t="e" cm="1">
        <f t="array" ref="C7">RΩ汇总!C6-INDEX(RΩ汇总!C:C,MATCH(MIN(IF(RΩ汇总!D:D&gt;0,RΩ汇总!D:D)),RΩ汇总!D:D,0))</f>
        <v>#N/A</v>
      </c>
      <c r="D7" s="3">
        <f>RΩ汇总!D6</f>
        <v>0</v>
      </c>
      <c r="E7" s="4" cm="1">
        <f t="array" ref="E7">RΩ汇总!E6-INDEX(RΩ汇总!E:E,MATCH(MIN(IF(RΩ汇总!F:F&gt;0,RΩ汇总!F:F)),RΩ汇总!F:F,0))</f>
        <v>-4.3371104212736045E-3</v>
      </c>
      <c r="F7" s="4">
        <v>-0.10023166538965166</v>
      </c>
      <c r="G7" s="4" t="e" cm="1">
        <f t="array" ref="G7">RΩ汇总!G6-INDEX(RΩ汇总!G:G,MATCH(MIN(IF(RΩ汇总!G:G&gt;0,RΩ汇总!G:G)),RΩ汇总!G:G,0))</f>
        <v>#N/A</v>
      </c>
      <c r="H7" s="4">
        <f>RΩ汇总!H6</f>
        <v>0</v>
      </c>
      <c r="I7" s="2" cm="1">
        <f t="array" ref="I7">RΩ汇总!I6-INDEX(RΩ汇总!I:I,MATCH(MIN(IF(RΩ汇总!J:J&gt;0,RΩ汇总!J:J)),RΩ汇总!J:J,0))</f>
        <v>-5.149613958824989E-3</v>
      </c>
      <c r="J7" s="2">
        <v>-9.9874374742194336E-2</v>
      </c>
      <c r="K7" s="2" t="e" cm="1">
        <f t="array" ref="K7">RΩ汇总!K6-INDEX(RΩ汇总!K:K,MATCH(MIN(IF(RΩ汇总!K:K&gt;0,RΩ汇总!K:K)),RΩ汇总!K:K,0))</f>
        <v>#N/A</v>
      </c>
      <c r="L7" s="2">
        <f>RΩ汇总!L6</f>
        <v>0</v>
      </c>
      <c r="M7" s="1" cm="1">
        <f t="array" ref="M7">RΩ汇总!M6-INDEX(RΩ汇总!M:M,MATCH(MIN(IF(RΩ汇总!N:N&gt;0,RΩ汇总!N:N)),RΩ汇总!N:N,0))</f>
        <v>-6.2540564667598608E-3</v>
      </c>
      <c r="N7" s="1">
        <v>-9.9817472230201112E-2</v>
      </c>
      <c r="O7" s="1" t="e" cm="1">
        <f t="array" ref="O7">RΩ汇总!O6-INDEX(RΩ汇总!O:O,MATCH(MIN(IF(RΩ汇总!O:O&gt;0,RΩ汇总!O:O)),RΩ汇总!O:O,0))</f>
        <v>#N/A</v>
      </c>
      <c r="P7" s="1">
        <f>RΩ汇总!P6</f>
        <v>0</v>
      </c>
    </row>
    <row r="8" spans="1:16" x14ac:dyDescent="0.2">
      <c r="A8" s="3" cm="1">
        <f t="array" ref="A8">RΩ汇总!A7-INDEX(RΩ汇总!A:A,MATCH(MIN(IF(RΩ汇总!B:B&gt;0,RΩ汇总!B:B)),RΩ汇总!B:B,0))</f>
        <v>-3.3635433733238407E-3</v>
      </c>
      <c r="B8" s="3">
        <v>-7.8214835939607749E-2</v>
      </c>
      <c r="C8" s="3" t="e" cm="1">
        <f t="array" ref="C8">RΩ汇总!C7-INDEX(RΩ汇总!C:C,MATCH(MIN(IF(RΩ汇总!D:D&gt;0,RΩ汇总!D:D)),RΩ汇总!D:D,0))</f>
        <v>#N/A</v>
      </c>
      <c r="D8" s="3">
        <f>RΩ汇总!D7</f>
        <v>0</v>
      </c>
      <c r="E8" s="4" cm="1">
        <f t="array" ref="E8">RΩ汇总!E7-INDEX(RΩ汇总!E:E,MATCH(MIN(IF(RΩ汇总!F:F&gt;0,RΩ汇总!F:F)),RΩ汇总!F:F,0))</f>
        <v>-5.0769325855428982E-3</v>
      </c>
      <c r="F8" s="4">
        <v>-7.8804750747073174E-2</v>
      </c>
      <c r="G8" s="4" t="e" cm="1">
        <f t="array" ref="G8">RΩ汇总!G7-INDEX(RΩ汇总!G:G,MATCH(MIN(IF(RΩ汇总!G:G&gt;0,RΩ汇总!G:G)),RΩ汇总!G:G,0))</f>
        <v>#N/A</v>
      </c>
      <c r="H8" s="4">
        <f>RΩ汇总!H7</f>
        <v>0</v>
      </c>
      <c r="I8" s="2" cm="1">
        <f t="array" ref="I8">RΩ汇总!I7-INDEX(RΩ汇总!I:I,MATCH(MIN(IF(RΩ汇总!J:J&gt;0,RΩ汇总!J:J)),RΩ汇总!J:J,0))</f>
        <v>-4.5030826627769083E-3</v>
      </c>
      <c r="J8" s="2">
        <v>-7.8855910409653299E-2</v>
      </c>
      <c r="K8" s="2" t="e" cm="1">
        <f t="array" ref="K8">RΩ汇总!K7-INDEX(RΩ汇总!K:K,MATCH(MIN(IF(RΩ汇总!K:K&gt;0,RΩ汇总!K:K)),RΩ汇总!K:K,0))</f>
        <v>#N/A</v>
      </c>
      <c r="L8" s="2">
        <f>RΩ汇总!L7</f>
        <v>0</v>
      </c>
      <c r="M8" s="1" cm="1">
        <f t="array" ref="M8">RΩ汇总!M7-INDEX(RΩ汇总!M:M,MATCH(MIN(IF(RΩ汇总!N:N&gt;0,RΩ汇总!N:N)),RΩ汇总!N:N,0))</f>
        <v>-5.5580888673970597E-3</v>
      </c>
      <c r="N8" s="1">
        <v>-7.8202765572894503E-2</v>
      </c>
      <c r="O8" s="1" t="e" cm="1">
        <f t="array" ref="O8">RΩ汇总!O7-INDEX(RΩ汇总!O:O,MATCH(MIN(IF(RΩ汇总!O:O&gt;0,RΩ汇总!O:O)),RΩ汇总!O:O,0))</f>
        <v>#N/A</v>
      </c>
      <c r="P8" s="1">
        <f>RΩ汇总!P7</f>
        <v>0</v>
      </c>
    </row>
    <row r="9" spans="1:16" x14ac:dyDescent="0.2">
      <c r="A9" s="3" cm="1">
        <f t="array" ref="A9">RΩ汇总!A8-INDEX(RΩ汇总!A:A,MATCH(MIN(IF(RΩ汇总!B:B&gt;0,RΩ汇总!B:B)),RΩ汇总!B:B,0))</f>
        <v>-3.7145584681186894E-3</v>
      </c>
      <c r="B9" s="3">
        <v>-6.1655002181635186E-2</v>
      </c>
      <c r="C9" s="3" t="e" cm="1">
        <f t="array" ref="C9">RΩ汇总!C8-INDEX(RΩ汇总!C:C,MATCH(MIN(IF(RΩ汇总!D:D&gt;0,RΩ汇总!D:D)),RΩ汇总!D:D,0))</f>
        <v>#N/A</v>
      </c>
      <c r="D9" s="3">
        <f>RΩ汇总!D8</f>
        <v>0</v>
      </c>
      <c r="E9" s="4" cm="1">
        <f t="array" ref="E9">RΩ汇总!E8-INDEX(RΩ汇总!E:E,MATCH(MIN(IF(RΩ汇总!F:F&gt;0,RΩ汇总!F:F)),RΩ汇总!F:F,0))</f>
        <v>-4.5420366552708369E-3</v>
      </c>
      <c r="F9" s="4">
        <v>-6.1843973983056244E-2</v>
      </c>
      <c r="G9" s="4" t="e" cm="1">
        <f t="array" ref="G9">RΩ汇总!G8-INDEX(RΩ汇总!G:G,MATCH(MIN(IF(RΩ汇总!G:G&gt;0,RΩ汇总!G:G)),RΩ汇总!G:G,0))</f>
        <v>#N/A</v>
      </c>
      <c r="H9" s="4">
        <f>RΩ汇总!H8</f>
        <v>0</v>
      </c>
      <c r="I9" s="2" cm="1">
        <f t="array" ref="I9">RΩ汇总!I8-INDEX(RΩ汇总!I:I,MATCH(MIN(IF(RΩ汇总!J:J&gt;0,RΩ汇总!J:J)),RΩ汇总!J:J,0))</f>
        <v>-4.4776933798931773E-3</v>
      </c>
      <c r="J9" s="2">
        <v>-6.1996515908672271E-2</v>
      </c>
      <c r="K9" s="2" t="e" cm="1">
        <f t="array" ref="K9">RΩ汇总!K8-INDEX(RΩ汇总!K:K,MATCH(MIN(IF(RΩ汇总!K:K&gt;0,RΩ汇总!K:K)),RΩ汇总!K:K,0))</f>
        <v>#N/A</v>
      </c>
      <c r="L9" s="2">
        <f>RΩ汇总!L8</f>
        <v>0</v>
      </c>
      <c r="M9" s="1" cm="1">
        <f t="array" ref="M9">RΩ汇总!M8-INDEX(RΩ汇总!M:M,MATCH(MIN(IF(RΩ汇总!N:N&gt;0,RΩ汇总!N:N)),RΩ汇总!N:N,0))</f>
        <v>-5.6381159226949196E-3</v>
      </c>
      <c r="N9" s="1">
        <v>-6.1513037018176828E-2</v>
      </c>
      <c r="O9" s="1" t="e" cm="1">
        <f t="array" ref="O9">RΩ汇总!O8-INDEX(RΩ汇总!O:O,MATCH(MIN(IF(RΩ汇总!O:O&gt;0,RΩ汇总!O:O)),RΩ汇总!O:O,0))</f>
        <v>#N/A</v>
      </c>
      <c r="P9" s="1">
        <f>RΩ汇总!P8</f>
        <v>0</v>
      </c>
    </row>
    <row r="10" spans="1:16" x14ac:dyDescent="0.2">
      <c r="A10" s="3" cm="1">
        <f t="array" ref="A10">RΩ汇总!A9-INDEX(RΩ汇总!A:A,MATCH(MIN(IF(RΩ汇总!B:B&gt;0,RΩ汇总!B:B)),RΩ汇总!B:B,0))</f>
        <v>-3.5149517408202546E-3</v>
      </c>
      <c r="B10" s="3">
        <v>-4.8685904323604215E-2</v>
      </c>
      <c r="C10" s="3" t="e" cm="1">
        <f t="array" ref="C10">RΩ汇总!C9-INDEX(RΩ汇总!C:C,MATCH(MIN(IF(RΩ汇总!D:D&gt;0,RΩ汇总!D:D)),RΩ汇总!D:D,0))</f>
        <v>#N/A</v>
      </c>
      <c r="D10" s="3">
        <f>RΩ汇总!D9</f>
        <v>0</v>
      </c>
      <c r="E10" s="4" cm="1">
        <f t="array" ref="E10">RΩ汇总!E9-INDEX(RΩ汇总!E:E,MATCH(MIN(IF(RΩ汇总!F:F&gt;0,RΩ汇总!F:F)),RΩ汇总!F:F,0))</f>
        <v>-4.5419500346752795E-3</v>
      </c>
      <c r="F10" s="4">
        <v>-4.9209583928640915E-2</v>
      </c>
      <c r="G10" s="4" t="e" cm="1">
        <f t="array" ref="G10">RΩ汇总!G9-INDEX(RΩ汇总!G:G,MATCH(MIN(IF(RΩ汇总!G:G&gt;0,RΩ汇总!G:G)),RΩ汇总!G:G,0))</f>
        <v>#N/A</v>
      </c>
      <c r="H10" s="4">
        <f>RΩ汇总!H9</f>
        <v>0</v>
      </c>
      <c r="I10" s="2" cm="1">
        <f t="array" ref="I10">RΩ汇总!I9-INDEX(RΩ汇总!I:I,MATCH(MIN(IF(RΩ汇总!J:J&gt;0,RΩ汇总!J:J)),RΩ汇总!J:J,0))</f>
        <v>-4.3862869571009988E-3</v>
      </c>
      <c r="J10" s="2">
        <v>-4.8513805750538076E-2</v>
      </c>
      <c r="K10" s="2" t="e" cm="1">
        <f t="array" ref="K10">RΩ汇总!K9-INDEX(RΩ汇总!K:K,MATCH(MIN(IF(RΩ汇总!K:K&gt;0,RΩ汇总!K:K)),RΩ汇总!K:K,0))</f>
        <v>#N/A</v>
      </c>
      <c r="L10" s="2">
        <f>RΩ汇总!L9</f>
        <v>0</v>
      </c>
      <c r="M10" s="1" cm="1">
        <f t="array" ref="M10">RΩ汇总!M9-INDEX(RΩ汇总!M:M,MATCH(MIN(IF(RΩ汇总!N:N&gt;0,RΩ汇总!N:N)),RΩ汇总!N:N,0))</f>
        <v>-5.2959133936572589E-3</v>
      </c>
      <c r="N10" s="1">
        <v>-4.7702687774561818E-2</v>
      </c>
      <c r="O10" s="1" t="e" cm="1">
        <f t="array" ref="O10">RΩ汇总!O9-INDEX(RΩ汇总!O:O,MATCH(MIN(IF(RΩ汇总!O:O&gt;0,RΩ汇总!O:O)),RΩ汇总!O:O,0))</f>
        <v>#N/A</v>
      </c>
      <c r="P10" s="1">
        <f>RΩ汇总!P9</f>
        <v>0</v>
      </c>
    </row>
    <row r="11" spans="1:16" x14ac:dyDescent="0.2">
      <c r="A11" s="3" cm="1">
        <f t="array" ref="A11">RΩ汇总!A10-INDEX(RΩ汇总!A:A,MATCH(MIN(IF(RΩ汇总!B:B&gt;0,RΩ汇总!B:B)),RΩ汇总!B:B,0))</f>
        <v>-3.479825644740725E-3</v>
      </c>
      <c r="B11" s="3">
        <v>-3.8106646732915521E-2</v>
      </c>
      <c r="C11" s="3" t="e" cm="1">
        <f t="array" ref="C11">RΩ汇总!C10-INDEX(RΩ汇总!C:C,MATCH(MIN(IF(RΩ汇总!D:D&gt;0,RΩ汇总!D:D)),RΩ汇总!D:D,0))</f>
        <v>#N/A</v>
      </c>
      <c r="D11" s="3">
        <f>RΩ汇总!D10</f>
        <v>0</v>
      </c>
      <c r="E11" s="4" cm="1">
        <f t="array" ref="E11">RΩ汇总!E10-INDEX(RΩ汇总!E:E,MATCH(MIN(IF(RΩ汇总!F:F&gt;0,RΩ汇总!F:F)),RΩ汇总!F:F,0))</f>
        <v>-3.9956229355410933E-3</v>
      </c>
      <c r="F11" s="4">
        <v>-3.8255967564947695E-2</v>
      </c>
      <c r="G11" s="4" t="e" cm="1">
        <f t="array" ref="G11">RΩ汇总!G10-INDEX(RΩ汇总!G:G,MATCH(MIN(IF(RΩ汇总!G:G&gt;0,RΩ汇总!G:G)),RΩ汇总!G:G,0))</f>
        <v>#N/A</v>
      </c>
      <c r="H11" s="4">
        <f>RΩ汇总!H10</f>
        <v>0</v>
      </c>
      <c r="I11" s="2" cm="1">
        <f t="array" ref="I11">RΩ汇总!I10-INDEX(RΩ汇总!I:I,MATCH(MIN(IF(RΩ汇总!J:J&gt;0,RΩ汇总!J:J)),RΩ汇总!J:J,0))</f>
        <v>-4.2577805370383193E-3</v>
      </c>
      <c r="J11" s="2">
        <v>-3.8286141165541666E-2</v>
      </c>
      <c r="K11" s="2" t="e" cm="1">
        <f t="array" ref="K11">RΩ汇总!K10-INDEX(RΩ汇总!K:K,MATCH(MIN(IF(RΩ汇总!K:K&gt;0,RΩ汇总!K:K)),RΩ汇总!K:K,0))</f>
        <v>#N/A</v>
      </c>
      <c r="L11" s="2">
        <f>RΩ汇总!L10</f>
        <v>0</v>
      </c>
      <c r="M11" s="1" cm="1">
        <f t="array" ref="M11">RΩ汇总!M10-INDEX(RΩ汇总!M:M,MATCH(MIN(IF(RΩ汇总!N:N&gt;0,RΩ汇总!N:N)),RΩ汇总!N:N,0))</f>
        <v>-5.5443190860783309E-3</v>
      </c>
      <c r="N11" s="1">
        <v>-3.7784176727391615E-2</v>
      </c>
      <c r="O11" s="1" t="e" cm="1">
        <f t="array" ref="O11">RΩ汇总!O10-INDEX(RΩ汇总!O:O,MATCH(MIN(IF(RΩ汇总!O:O&gt;0,RΩ汇总!O:O)),RΩ汇总!O:O,0))</f>
        <v>#N/A</v>
      </c>
      <c r="P11" s="1">
        <f>RΩ汇总!P10</f>
        <v>0</v>
      </c>
    </row>
    <row r="12" spans="1:16" x14ac:dyDescent="0.2">
      <c r="A12" s="3" cm="1">
        <f t="array" ref="A12">RΩ汇总!A11-INDEX(RΩ汇总!A:A,MATCH(MIN(IF(RΩ汇总!B:B&gt;0,RΩ汇总!B:B)),RΩ汇总!B:B,0))</f>
        <v>-3.400684602450188E-3</v>
      </c>
      <c r="B12" s="3">
        <v>-3.0260735954680755E-2</v>
      </c>
      <c r="C12" s="3" t="e" cm="1">
        <f t="array" ref="C12">RΩ汇总!C11-INDEX(RΩ汇总!C:C,MATCH(MIN(IF(RΩ汇总!D:D&gt;0,RΩ汇总!D:D)),RΩ汇总!D:D,0))</f>
        <v>#N/A</v>
      </c>
      <c r="D12" s="3">
        <f>RΩ汇总!D11</f>
        <v>0</v>
      </c>
      <c r="E12" s="4" cm="1">
        <f t="array" ref="E12">RΩ汇总!E11-INDEX(RΩ汇总!E:E,MATCH(MIN(IF(RΩ汇总!F:F&gt;0,RΩ汇总!F:F)),RΩ汇总!F:F,0))</f>
        <v>-3.9398816283049698E-3</v>
      </c>
      <c r="F12" s="4">
        <v>-2.993075467937744E-2</v>
      </c>
      <c r="G12" s="4" t="e" cm="1">
        <f t="array" ref="G12">RΩ汇总!G11-INDEX(RΩ汇总!G:G,MATCH(MIN(IF(RΩ汇总!G:G&gt;0,RΩ汇总!G:G)),RΩ汇总!G:G,0))</f>
        <v>#N/A</v>
      </c>
      <c r="H12" s="4">
        <f>RΩ汇总!H11</f>
        <v>0</v>
      </c>
      <c r="I12" s="2" cm="1">
        <f t="array" ref="I12">RΩ汇总!I11-INDEX(RΩ汇总!I:I,MATCH(MIN(IF(RΩ汇总!J:J&gt;0,RΩ汇总!J:J)),RΩ汇总!J:J,0))</f>
        <v>-4.1083004321321448E-3</v>
      </c>
      <c r="J12" s="2">
        <v>-3.0418373677710789E-2</v>
      </c>
      <c r="K12" s="2" t="e" cm="1">
        <f t="array" ref="K12">RΩ汇总!K11-INDEX(RΩ汇总!K:K,MATCH(MIN(IF(RΩ汇总!K:K&gt;0,RΩ汇总!K:K)),RΩ汇总!K:K,0))</f>
        <v>#N/A</v>
      </c>
      <c r="L12" s="2">
        <f>RΩ汇总!L11</f>
        <v>0</v>
      </c>
      <c r="M12" s="1" cm="1">
        <f t="array" ref="M12">RΩ汇总!M11-INDEX(RΩ汇总!M:M,MATCH(MIN(IF(RΩ汇总!N:N&gt;0,RΩ汇总!N:N)),RΩ汇总!N:N,0))</f>
        <v>-5.1376077467041315E-3</v>
      </c>
      <c r="N12" s="1">
        <v>-2.9187101712635638E-2</v>
      </c>
      <c r="O12" s="1" t="e" cm="1">
        <f t="array" ref="O12">RΩ汇总!O11-INDEX(RΩ汇总!O:O,MATCH(MIN(IF(RΩ汇总!O:O&gt;0,RΩ汇总!O:O)),RΩ汇总!O:O,0))</f>
        <v>#N/A</v>
      </c>
      <c r="P12" s="1">
        <f>RΩ汇总!P11</f>
        <v>0</v>
      </c>
    </row>
    <row r="13" spans="1:16" x14ac:dyDescent="0.2">
      <c r="A13" s="3" cm="1">
        <f t="array" ref="A13">RΩ汇总!A12-INDEX(RΩ汇总!A:A,MATCH(MIN(IF(RΩ汇总!B:B&gt;0,RΩ汇总!B:B)),RΩ汇总!B:B,0))</f>
        <v>-3.0397240349265275E-3</v>
      </c>
      <c r="B13" s="3">
        <v>-2.4205067768649599E-2</v>
      </c>
      <c r="C13" s="3" t="e" cm="1">
        <f t="array" ref="C13">RΩ汇总!C12-INDEX(RΩ汇总!C:C,MATCH(MIN(IF(RΩ汇总!D:D&gt;0,RΩ汇总!D:D)),RΩ汇总!D:D,0))</f>
        <v>#N/A</v>
      </c>
      <c r="D13" s="3">
        <f>RΩ汇总!D12</f>
        <v>0</v>
      </c>
      <c r="E13" s="4" cm="1">
        <f t="array" ref="E13">RΩ汇总!E12-INDEX(RΩ汇总!E:E,MATCH(MIN(IF(RΩ汇总!F:F&gt;0,RΩ汇总!F:F)),RΩ汇总!F:F,0))</f>
        <v>-3.4305309494662151E-3</v>
      </c>
      <c r="F13" s="4">
        <v>-2.3820814521042392E-2</v>
      </c>
      <c r="G13" s="4" t="e" cm="1">
        <f t="array" ref="G13">RΩ汇总!G12-INDEX(RΩ汇总!G:G,MATCH(MIN(IF(RΩ汇总!G:G&gt;0,RΩ汇总!G:G)),RΩ汇总!G:G,0))</f>
        <v>#N/A</v>
      </c>
      <c r="H13" s="4">
        <f>RΩ汇总!H12</f>
        <v>0</v>
      </c>
      <c r="I13" s="2" cm="1">
        <f t="array" ref="I13">RΩ汇总!I12-INDEX(RΩ汇总!I:I,MATCH(MIN(IF(RΩ汇总!J:J&gt;0,RΩ汇总!J:J)),RΩ汇总!J:J,0))</f>
        <v>-3.6963072131983576E-3</v>
      </c>
      <c r="J13" s="2">
        <v>-2.3583873570456194E-2</v>
      </c>
      <c r="K13" s="2" t="e" cm="1">
        <f t="array" ref="K13">RΩ汇总!K12-INDEX(RΩ汇总!K:K,MATCH(MIN(IF(RΩ汇总!K:K&gt;0,RΩ汇总!K:K)),RΩ汇总!K:K,0))</f>
        <v>#N/A</v>
      </c>
      <c r="L13" s="2">
        <f>RΩ汇总!L12</f>
        <v>0</v>
      </c>
      <c r="M13" s="1" cm="1">
        <f t="array" ref="M13">RΩ汇总!M12-INDEX(RΩ汇总!M:M,MATCH(MIN(IF(RΩ汇总!N:N&gt;0,RΩ汇总!N:N)),RΩ汇总!N:N,0))</f>
        <v>-4.2649217077622148E-3</v>
      </c>
      <c r="N13" s="1">
        <v>-2.281568684716986E-2</v>
      </c>
      <c r="O13" s="1" t="e" cm="1">
        <f t="array" ref="O13">RΩ汇总!O12-INDEX(RΩ汇总!O:O,MATCH(MIN(IF(RΩ汇总!O:O&gt;0,RΩ汇总!O:O)),RΩ汇总!O:O,0))</f>
        <v>#N/A</v>
      </c>
      <c r="P13" s="1">
        <f>RΩ汇总!P12</f>
        <v>0</v>
      </c>
    </row>
    <row r="14" spans="1:16" x14ac:dyDescent="0.2">
      <c r="A14" s="3" cm="1">
        <f t="array" ref="A14">RΩ汇总!A13-INDEX(RΩ汇总!A:A,MATCH(MIN(IF(RΩ汇总!B:B&gt;0,RΩ汇总!B:B)),RΩ汇总!B:B,0))</f>
        <v>-2.9000022739571196E-3</v>
      </c>
      <c r="B14" s="3">
        <v>-1.816883626950375E-2</v>
      </c>
      <c r="C14" s="3" t="e" cm="1">
        <f t="array" ref="C14">RΩ汇总!C13-INDEX(RΩ汇总!C:C,MATCH(MIN(IF(RΩ汇总!D:D&gt;0,RΩ汇总!D:D)),RΩ汇总!D:D,0))</f>
        <v>#N/A</v>
      </c>
      <c r="D14" s="3">
        <f>RΩ汇总!D13</f>
        <v>0</v>
      </c>
      <c r="E14" s="4" cm="1">
        <f t="array" ref="E14">RΩ汇总!E13-INDEX(RΩ汇总!E:E,MATCH(MIN(IF(RΩ汇总!F:F&gt;0,RΩ汇总!F:F)),RΩ汇总!F:F,0))</f>
        <v>-3.0483619934279782E-3</v>
      </c>
      <c r="F14" s="4">
        <v>-1.764279344320361E-2</v>
      </c>
      <c r="G14" s="4" t="e" cm="1">
        <f t="array" ref="G14">RΩ汇总!G13-INDEX(RΩ汇总!G:G,MATCH(MIN(IF(RΩ汇总!G:G&gt;0,RΩ汇总!G:G)),RΩ汇总!G:G,0))</f>
        <v>#N/A</v>
      </c>
      <c r="H14" s="4">
        <f>RΩ汇总!H13</f>
        <v>0</v>
      </c>
      <c r="I14" s="2" cm="1">
        <f t="array" ref="I14">RΩ汇总!I13-INDEX(RΩ汇总!I:I,MATCH(MIN(IF(RΩ汇总!J:J&gt;0,RΩ汇总!J:J)),RΩ汇总!J:J,0))</f>
        <v>-3.0953787795960641E-3</v>
      </c>
      <c r="J14" s="2">
        <v>-1.7277196886271082E-2</v>
      </c>
      <c r="K14" s="2" t="e" cm="1">
        <f t="array" ref="K14">RΩ汇总!K13-INDEX(RΩ汇总!K:K,MATCH(MIN(IF(RΩ汇总!K:K&gt;0,RΩ汇总!K:K)),RΩ汇总!K:K,0))</f>
        <v>#N/A</v>
      </c>
      <c r="L14" s="2">
        <f>RΩ汇总!L13</f>
        <v>0</v>
      </c>
      <c r="M14" s="1" cm="1">
        <f t="array" ref="M14">RΩ汇总!M13-INDEX(RΩ汇总!M:M,MATCH(MIN(IF(RΩ汇总!N:N&gt;0,RΩ汇总!N:N)),RΩ汇总!N:N,0))</f>
        <v>-3.8017165021673183E-3</v>
      </c>
      <c r="N14" s="1">
        <v>-1.5805418918704559E-2</v>
      </c>
      <c r="O14" s="1" t="e" cm="1">
        <f t="array" ref="O14">RΩ汇总!O13-INDEX(RΩ汇总!O:O,MATCH(MIN(IF(RΩ汇总!O:O&gt;0,RΩ汇总!O:O)),RΩ汇总!O:O,0))</f>
        <v>#N/A</v>
      </c>
      <c r="P14" s="1">
        <f>RΩ汇总!P13</f>
        <v>0</v>
      </c>
    </row>
    <row r="15" spans="1:16" x14ac:dyDescent="0.2">
      <c r="A15" s="3" cm="1">
        <f t="array" ref="A15">RΩ汇总!A14-INDEX(RΩ汇总!A:A,MATCH(MIN(IF(RΩ汇总!B:B&gt;0,RΩ汇总!B:B)),RΩ汇总!B:B,0))</f>
        <v>-2.506797322094273E-3</v>
      </c>
      <c r="B15" s="3">
        <v>-1.3895659246836226E-2</v>
      </c>
      <c r="C15" s="3" t="e" cm="1">
        <f t="array" ref="C15">RΩ汇总!C14-INDEX(RΩ汇总!C:C,MATCH(MIN(IF(RΩ汇总!D:D&gt;0,RΩ汇总!D:D)),RΩ汇总!D:D,0))</f>
        <v>#N/A</v>
      </c>
      <c r="D15" s="3">
        <f>RΩ汇总!D14</f>
        <v>0</v>
      </c>
      <c r="E15" s="4" cm="1">
        <f t="array" ref="E15">RΩ汇总!E14-INDEX(RΩ汇总!E:E,MATCH(MIN(IF(RΩ汇总!F:F&gt;0,RΩ汇总!F:F)),RΩ汇总!F:F,0))</f>
        <v>-2.7863347105461789E-3</v>
      </c>
      <c r="F15" s="4">
        <v>-1.2555703291511983E-2</v>
      </c>
      <c r="G15" s="4" t="e" cm="1">
        <f t="array" ref="G15">RΩ汇总!G14-INDEX(RΩ汇总!G:G,MATCH(MIN(IF(RΩ汇总!G:G&gt;0,RΩ汇总!G:G)),RΩ汇总!G:G,0))</f>
        <v>#N/A</v>
      </c>
      <c r="H15" s="4">
        <f>RΩ汇总!H14</f>
        <v>0</v>
      </c>
      <c r="I15" s="2" cm="1">
        <f t="array" ref="I15">RΩ汇总!I14-INDEX(RΩ汇总!I:I,MATCH(MIN(IF(RΩ汇总!J:J&gt;0,RΩ汇总!J:J)),RΩ汇总!J:J,0))</f>
        <v>-3.0009092983117047E-3</v>
      </c>
      <c r="J15" s="2">
        <v>-1.2493958980847743E-2</v>
      </c>
      <c r="K15" s="2" t="e" cm="1">
        <f t="array" ref="K15">RΩ汇总!K14-INDEX(RΩ汇总!K:K,MATCH(MIN(IF(RΩ汇总!K:K&gt;0,RΩ汇总!K:K)),RΩ汇总!K:K,0))</f>
        <v>#N/A</v>
      </c>
      <c r="L15" s="2">
        <f>RΩ汇总!L14</f>
        <v>0</v>
      </c>
      <c r="M15" s="1" cm="1">
        <f t="array" ref="M15">RΩ汇总!M14-INDEX(RΩ汇总!M:M,MATCH(MIN(IF(RΩ汇总!N:N&gt;0,RΩ汇总!N:N)),RΩ汇总!N:N,0))</f>
        <v>-3.2538596736947922E-3</v>
      </c>
      <c r="N15" s="1">
        <v>-1.1646541639178715E-2</v>
      </c>
      <c r="O15" s="1" t="e" cm="1">
        <f t="array" ref="O15">RΩ汇总!O14-INDEX(RΩ汇总!O:O,MATCH(MIN(IF(RΩ汇总!O:O&gt;0,RΩ汇总!O:O)),RΩ汇总!O:O,0))</f>
        <v>#N/A</v>
      </c>
      <c r="P15" s="1">
        <f>RΩ汇总!P14</f>
        <v>0</v>
      </c>
    </row>
    <row r="16" spans="1:16" x14ac:dyDescent="0.2">
      <c r="A16" s="3" cm="1">
        <f t="array" ref="A16">RΩ汇总!A15-INDEX(RΩ汇总!A:A,MATCH(MIN(IF(RΩ汇总!B:B&gt;0,RΩ汇总!B:B)),RΩ汇总!B:B,0))</f>
        <v>-2.4379720554608963E-3</v>
      </c>
      <c r="B16" s="3">
        <v>-1.0000293738338627E-2</v>
      </c>
      <c r="C16" s="3" t="e" cm="1">
        <f t="array" ref="C16">RΩ汇总!C15-INDEX(RΩ汇总!C:C,MATCH(MIN(IF(RΩ汇总!D:D&gt;0,RΩ汇总!D:D)),RΩ汇总!D:D,0))</f>
        <v>#N/A</v>
      </c>
      <c r="D16" s="3">
        <f>RΩ汇总!D15</f>
        <v>0</v>
      </c>
      <c r="E16" s="4" cm="1">
        <f t="array" ref="E16">RΩ汇总!E15-INDEX(RΩ汇总!E:E,MATCH(MIN(IF(RΩ汇总!F:F&gt;0,RΩ汇总!F:F)),RΩ汇总!F:F,0))</f>
        <v>-2.3527639465708572E-3</v>
      </c>
      <c r="F16" s="4">
        <v>-8.6298713972103366E-3</v>
      </c>
      <c r="G16" s="4" t="e" cm="1">
        <f t="array" ref="G16">RΩ汇总!G15-INDEX(RΩ汇总!G:G,MATCH(MIN(IF(RΩ汇总!G:G&gt;0,RΩ汇总!G:G)),RΩ汇总!G:G,0))</f>
        <v>#N/A</v>
      </c>
      <c r="H16" s="4">
        <f>RΩ汇总!H15</f>
        <v>0</v>
      </c>
      <c r="I16" s="2" cm="1">
        <f t="array" ref="I16">RΩ汇总!I15-INDEX(RΩ汇总!I:I,MATCH(MIN(IF(RΩ汇总!J:J&gt;0,RΩ汇总!J:J)),RΩ汇总!J:J,0))</f>
        <v>-2.2726003202730993E-3</v>
      </c>
      <c r="J16" s="2">
        <v>-8.5753292644075146E-3</v>
      </c>
      <c r="K16" s="2" t="e" cm="1">
        <f t="array" ref="K16">RΩ汇总!K15-INDEX(RΩ汇总!K:K,MATCH(MIN(IF(RΩ汇总!K:K&gt;0,RΩ汇总!K:K)),RΩ汇总!K:K,0))</f>
        <v>#N/A</v>
      </c>
      <c r="L16" s="2">
        <f>RΩ汇总!L15</f>
        <v>0</v>
      </c>
      <c r="M16" s="1" cm="1">
        <f t="array" ref="M16">RΩ汇总!M15-INDEX(RΩ汇总!M:M,MATCH(MIN(IF(RΩ汇总!N:N&gt;0,RΩ汇总!N:N)),RΩ汇总!N:N,0))</f>
        <v>-2.0094663103207844E-3</v>
      </c>
      <c r="N16" s="1">
        <v>-7.9652443711073027E-3</v>
      </c>
      <c r="O16" s="1" t="e" cm="1">
        <f t="array" ref="O16">RΩ汇总!O15-INDEX(RΩ汇总!O:O,MATCH(MIN(IF(RΩ汇总!O:O&gt;0,RΩ汇总!O:O)),RΩ汇总!O:O,0))</f>
        <v>#N/A</v>
      </c>
      <c r="P16" s="1">
        <f>RΩ汇总!P15</f>
        <v>0</v>
      </c>
    </row>
    <row r="17" spans="1:16" x14ac:dyDescent="0.2">
      <c r="A17" s="3" cm="1">
        <f t="array" ref="A17">RΩ汇总!A16-INDEX(RΩ汇总!A:A,MATCH(MIN(IF(RΩ汇总!B:B&gt;0,RΩ汇总!B:B)),RΩ汇总!B:B,0))</f>
        <v>-2.1406076669375773E-3</v>
      </c>
      <c r="B17" s="3">
        <v>-6.9877402471382136E-3</v>
      </c>
      <c r="C17" s="3" t="e" cm="1">
        <f t="array" ref="C17">RΩ汇总!C16-INDEX(RΩ汇总!C:C,MATCH(MIN(IF(RΩ汇总!D:D&gt;0,RΩ汇总!D:D)),RΩ汇总!D:D,0))</f>
        <v>#N/A</v>
      </c>
      <c r="D17" s="3">
        <f>RΩ汇总!D16</f>
        <v>0</v>
      </c>
      <c r="E17" s="4" cm="1">
        <f t="array" ref="E17">RΩ汇总!E16-INDEX(RΩ汇总!E:E,MATCH(MIN(IF(RΩ汇总!F:F&gt;0,RΩ汇总!F:F)),RΩ汇总!F:F,0))</f>
        <v>-2.0482563262069764E-3</v>
      </c>
      <c r="F17" s="4">
        <v>-5.6856558488004574E-3</v>
      </c>
      <c r="G17" s="4" t="e" cm="1">
        <f t="array" ref="G17">RΩ汇总!G16-INDEX(RΩ汇总!G:G,MATCH(MIN(IF(RΩ汇总!G:G&gt;0,RΩ汇总!G:G)),RΩ汇总!G:G,0))</f>
        <v>#N/A</v>
      </c>
      <c r="H17" s="4">
        <f>RΩ汇总!H16</f>
        <v>0</v>
      </c>
      <c r="I17" s="2" cm="1">
        <f t="array" ref="I17">RΩ汇总!I16-INDEX(RΩ汇总!I:I,MATCH(MIN(IF(RΩ汇总!J:J&gt;0,RΩ汇总!J:J)),RΩ汇总!J:J,0))</f>
        <v>-1.8185225481497369E-3</v>
      </c>
      <c r="J17" s="2">
        <v>-5.4820426976225009E-3</v>
      </c>
      <c r="K17" s="2" t="e" cm="1">
        <f t="array" ref="K17">RΩ汇总!K16-INDEX(RΩ汇总!K:K,MATCH(MIN(IF(RΩ汇总!K:K&gt;0,RΩ汇总!K:K)),RΩ汇总!K:K,0))</f>
        <v>#N/A</v>
      </c>
      <c r="L17" s="2">
        <f>RΩ汇总!L16</f>
        <v>0</v>
      </c>
      <c r="M17" s="1" cm="1">
        <f t="array" ref="M17">RΩ汇总!M16-INDEX(RΩ汇总!M:M,MATCH(MIN(IF(RΩ汇总!N:N&gt;0,RΩ汇总!N:N)),RΩ汇总!N:N,0))</f>
        <v>-1.2417754976883355E-3</v>
      </c>
      <c r="N17" s="1">
        <v>-3.3520183422102723E-3</v>
      </c>
      <c r="O17" s="1" t="e" cm="1">
        <f t="array" ref="O17">RΩ汇总!O16-INDEX(RΩ汇总!O:O,MATCH(MIN(IF(RΩ汇总!O:O&gt;0,RΩ汇总!O:O)),RΩ汇总!O:O,0))</f>
        <v>#N/A</v>
      </c>
      <c r="P17" s="1">
        <f>RΩ汇总!P16</f>
        <v>0</v>
      </c>
    </row>
    <row r="18" spans="1:16" x14ac:dyDescent="0.2">
      <c r="A18" s="3" cm="1">
        <f t="array" ref="A18">RΩ汇总!A17-INDEX(RΩ汇总!A:A,MATCH(MIN(IF(RΩ汇总!B:B&gt;0,RΩ汇总!B:B)),RΩ汇总!B:B,0))</f>
        <v>-1.6771719514617756E-3</v>
      </c>
      <c r="B18" s="3">
        <v>-4.554754651603151E-3</v>
      </c>
      <c r="C18" s="3" t="e" cm="1">
        <f t="array" ref="C18">RΩ汇总!C17-INDEX(RΩ汇总!C:C,MATCH(MIN(IF(RΩ汇总!D:D&gt;0,RΩ汇总!D:D)),RΩ汇总!D:D,0))</f>
        <v>#N/A</v>
      </c>
      <c r="D18" s="3">
        <f>RΩ汇总!D17</f>
        <v>0</v>
      </c>
      <c r="E18" s="4" cm="1">
        <f t="array" ref="E18">RΩ汇总!E17-INDEX(RΩ汇总!E:E,MATCH(MIN(IF(RΩ汇总!F:F&gt;0,RΩ汇总!F:F)),RΩ汇总!F:F,0))</f>
        <v>-1.5049453891471387E-3</v>
      </c>
      <c r="F18" s="4">
        <v>-2.8837458790621656E-3</v>
      </c>
      <c r="G18" s="4" t="e" cm="1">
        <f t="array" ref="G18">RΩ汇总!G17-INDEX(RΩ汇总!G:G,MATCH(MIN(IF(RΩ汇总!G:G&gt;0,RΩ汇总!G:G)),RΩ汇总!G:G,0))</f>
        <v>#N/A</v>
      </c>
      <c r="H18" s="4">
        <f>RΩ汇总!H17</f>
        <v>0</v>
      </c>
      <c r="I18" s="2" cm="1">
        <f t="array" ref="I18">RΩ汇总!I17-INDEX(RΩ汇总!I:I,MATCH(MIN(IF(RΩ汇总!J:J&gt;0,RΩ汇总!J:J)),RΩ汇总!J:J,0))</f>
        <v>-8.4141026739983915E-4</v>
      </c>
      <c r="J18" s="2">
        <v>-3.0688835498908361E-3</v>
      </c>
      <c r="K18" s="2" t="e" cm="1">
        <f t="array" ref="K18">RΩ汇总!K17-INDEX(RΩ汇总!K:K,MATCH(MIN(IF(RΩ汇总!K:K&gt;0,RΩ汇总!K:K)),RΩ汇总!K:K,0))</f>
        <v>#N/A</v>
      </c>
      <c r="L18" s="2">
        <f>RΩ汇总!L17</f>
        <v>0</v>
      </c>
      <c r="M18" s="1" cm="1">
        <f t="array" ref="M18">RΩ汇总!M17-INDEX(RΩ汇总!M:M,MATCH(MIN(IF(RΩ汇总!N:N&gt;0,RΩ汇总!N:N)),RΩ汇总!N:N,0))</f>
        <v>-9.7562897008807159E-4</v>
      </c>
      <c r="N18" s="1">
        <v>-4.8097656309332174E-4</v>
      </c>
      <c r="O18" s="1" t="e" cm="1">
        <f t="array" ref="O18">RΩ汇总!O17-INDEX(RΩ汇总!O:O,MATCH(MIN(IF(RΩ汇总!O:O&gt;0,RΩ汇总!O:O)),RΩ汇总!O:O,0))</f>
        <v>#N/A</v>
      </c>
      <c r="P18" s="1">
        <f>RΩ汇总!P17</f>
        <v>0</v>
      </c>
    </row>
    <row r="19" spans="1:16" x14ac:dyDescent="0.2">
      <c r="A19" s="3" cm="1">
        <f t="array" ref="A19">RΩ汇总!A18-INDEX(RΩ汇总!A:A,MATCH(MIN(IF(RΩ汇总!B:B&gt;0,RΩ汇总!B:B)),RΩ汇总!B:B,0))</f>
        <v>-1.159001390839437E-3</v>
      </c>
      <c r="B19" s="3">
        <v>-2.4139914297615765E-3</v>
      </c>
      <c r="C19" s="3" t="e" cm="1">
        <f t="array" ref="C19">RΩ汇总!C18-INDEX(RΩ汇总!C:C,MATCH(MIN(IF(RΩ汇总!D:D&gt;0,RΩ汇总!D:D)),RΩ汇总!D:D,0))</f>
        <v>#N/A</v>
      </c>
      <c r="D19" s="3">
        <f>RΩ汇总!D18</f>
        <v>0</v>
      </c>
      <c r="E19" s="4" cm="1">
        <f t="array" ref="E19">RΩ汇总!E18-INDEX(RΩ汇总!E:E,MATCH(MIN(IF(RΩ汇总!F:F&gt;0,RΩ汇总!F:F)),RΩ汇总!F:F,0))</f>
        <v>-7.0425076047903046E-4</v>
      </c>
      <c r="F19" s="4">
        <v>-3.8041623068736001E-4</v>
      </c>
      <c r="G19" s="4" t="e" cm="1">
        <f t="array" ref="G19">RΩ汇总!G18-INDEX(RΩ汇总!G:G,MATCH(MIN(IF(RΩ汇总!G:G&gt;0,RΩ汇总!G:G)),RΩ汇总!G:G,0))</f>
        <v>#N/A</v>
      </c>
      <c r="H19" s="4">
        <f>RΩ汇总!H18</f>
        <v>0</v>
      </c>
      <c r="I19" s="2" cm="1">
        <f t="array" ref="I19">RΩ汇总!I18-INDEX(RΩ汇总!I:I,MATCH(MIN(IF(RΩ汇总!J:J&gt;0,RΩ汇总!J:J)),RΩ汇总!J:J,0))</f>
        <v>0</v>
      </c>
      <c r="J19" s="2">
        <v>2.9224841539730287E-4</v>
      </c>
      <c r="K19" s="2" t="e" cm="1">
        <f t="array" ref="K19">RΩ汇总!K18-INDEX(RΩ汇总!K:K,MATCH(MIN(IF(RΩ汇总!K:K&gt;0,RΩ汇总!K:K)),RΩ汇总!K:K,0))</f>
        <v>#N/A</v>
      </c>
      <c r="L19" s="2">
        <f>RΩ汇总!L18</f>
        <v>0</v>
      </c>
      <c r="M19" s="1" cm="1">
        <f t="array" ref="M19">RΩ汇总!M18-INDEX(RΩ汇总!M:M,MATCH(MIN(IF(RΩ汇总!N:N&gt;0,RΩ汇总!N:N)),RΩ汇总!N:N,0))</f>
        <v>0</v>
      </c>
      <c r="N19" s="1">
        <v>1.7256824106095219E-3</v>
      </c>
      <c r="O19" s="1" t="e" cm="1">
        <f t="array" ref="O19">RΩ汇总!O18-INDEX(RΩ汇总!O:O,MATCH(MIN(IF(RΩ汇总!O:O&gt;0,RΩ汇总!O:O)),RΩ汇总!O:O,0))</f>
        <v>#N/A</v>
      </c>
      <c r="P19" s="1">
        <f>RΩ汇总!P18</f>
        <v>0</v>
      </c>
    </row>
    <row r="20" spans="1:16" x14ac:dyDescent="0.2">
      <c r="A20" s="3" cm="1">
        <f t="array" ref="A20">RΩ汇总!A19-INDEX(RΩ汇总!A:A,MATCH(MIN(IF(RΩ汇总!B:B&gt;0,RΩ汇总!B:B)),RΩ汇总!B:B,0))</f>
        <v>-6.8306800068274054E-4</v>
      </c>
      <c r="B20" s="3">
        <v>-6.7311095806591424E-4</v>
      </c>
      <c r="C20" s="3" t="e" cm="1">
        <f t="array" ref="C20">RΩ汇总!C19-INDEX(RΩ汇总!C:C,MATCH(MIN(IF(RΩ汇总!D:D&gt;0,RΩ汇总!D:D)),RΩ汇总!D:D,0))</f>
        <v>#N/A</v>
      </c>
      <c r="D20" s="3">
        <f>RΩ汇总!D19</f>
        <v>0</v>
      </c>
      <c r="E20" s="4" cm="1">
        <f t="array" ref="E20">RΩ汇总!E19-INDEX(RΩ汇总!E:E,MATCH(MIN(IF(RΩ汇总!F:F&gt;0,RΩ汇总!F:F)),RΩ汇总!F:F,0))</f>
        <v>0</v>
      </c>
      <c r="F20" s="4">
        <v>1.5528429824298584E-3</v>
      </c>
      <c r="G20" s="4" t="e" cm="1">
        <f t="array" ref="G20">RΩ汇总!G19-INDEX(RΩ汇总!G:G,MATCH(MIN(IF(RΩ汇总!G:G&gt;0,RΩ汇总!G:G)),RΩ汇总!G:G,0))</f>
        <v>#N/A</v>
      </c>
      <c r="H20" s="4">
        <f>RΩ汇总!H19</f>
        <v>0</v>
      </c>
      <c r="I20" s="2" cm="1">
        <f t="array" ref="I20">RΩ汇总!I19-INDEX(RΩ汇总!I:I,MATCH(MIN(IF(RΩ汇总!J:J&gt;0,RΩ汇总!J:J)),RΩ汇总!J:J,0))</f>
        <v>3.5663760217033436E-4</v>
      </c>
      <c r="J20" s="2">
        <v>2.2504173895817516E-3</v>
      </c>
      <c r="K20" s="2" t="e" cm="1">
        <f t="array" ref="K20">RΩ汇总!K19-INDEX(RΩ汇总!K:K,MATCH(MIN(IF(RΩ汇总!K:K&gt;0,RΩ汇总!K:K)),RΩ汇总!K:K,0))</f>
        <v>#N/A</v>
      </c>
      <c r="L20" s="2">
        <f>RΩ汇总!L19</f>
        <v>0</v>
      </c>
      <c r="M20" s="1" cm="1">
        <f t="array" ref="M20">RΩ汇总!M19-INDEX(RΩ汇总!M:M,MATCH(MIN(IF(RΩ汇总!N:N&gt;0,RΩ汇总!N:N)),RΩ汇总!N:N,0))</f>
        <v>7.1966879628254654E-4</v>
      </c>
      <c r="N20" s="1">
        <v>4.9385773864242455E-3</v>
      </c>
      <c r="O20" s="1" t="e" cm="1">
        <f t="array" ref="O20">RΩ汇总!O19-INDEX(RΩ汇总!O:O,MATCH(MIN(IF(RΩ汇总!O:O&gt;0,RΩ汇总!O:O)),RΩ汇总!O:O,0))</f>
        <v>#N/A</v>
      </c>
      <c r="P20" s="1">
        <f>RΩ汇总!P19</f>
        <v>0</v>
      </c>
    </row>
    <row r="21" spans="1:16" x14ac:dyDescent="0.2">
      <c r="A21" s="3" cm="1">
        <f t="array" ref="A21">RΩ汇总!A20-INDEX(RΩ汇总!A:A,MATCH(MIN(IF(RΩ汇总!B:B&gt;0,RΩ汇总!B:B)),RΩ汇总!B:B,0))</f>
        <v>0</v>
      </c>
      <c r="B21" s="3">
        <v>9.9227515283452448E-4</v>
      </c>
      <c r="C21" s="3" t="e" cm="1">
        <f t="array" ref="C21">RΩ汇总!C20-INDEX(RΩ汇总!C:C,MATCH(MIN(IF(RΩ汇总!D:D&gt;0,RΩ汇总!D:D)),RΩ汇总!D:D,0))</f>
        <v>#N/A</v>
      </c>
      <c r="D21" s="3">
        <f>RΩ汇总!D20</f>
        <v>0</v>
      </c>
      <c r="E21" s="4" cm="1">
        <f t="array" ref="E21">RΩ汇总!E20-INDEX(RΩ汇总!E:E,MATCH(MIN(IF(RΩ汇总!F:F&gt;0,RΩ汇总!F:F)),RΩ汇总!F:F,0))</f>
        <v>9.4905165720299278E-4</v>
      </c>
      <c r="F21" s="4">
        <v>3.4788588489265129E-3</v>
      </c>
      <c r="G21" s="4" t="e" cm="1">
        <f t="array" ref="G21">RΩ汇总!G20-INDEX(RΩ汇总!G:G,MATCH(MIN(IF(RΩ汇总!G:G&gt;0,RΩ汇总!G:G)),RΩ汇总!G:G,0))</f>
        <v>#N/A</v>
      </c>
      <c r="H21" s="4">
        <f>RΩ汇总!H20</f>
        <v>0</v>
      </c>
      <c r="I21" s="2" cm="1">
        <f t="array" ref="I21">RΩ汇总!I20-INDEX(RΩ汇总!I:I,MATCH(MIN(IF(RΩ汇总!J:J&gt;0,RΩ汇总!J:J)),RΩ汇总!J:J,0))</f>
        <v>1.3749728697860231E-3</v>
      </c>
      <c r="J21" s="2">
        <v>4.4718339560502474E-3</v>
      </c>
      <c r="K21" s="2" t="e" cm="1">
        <f t="array" ref="K21">RΩ汇总!K20-INDEX(RΩ汇总!K:K,MATCH(MIN(IF(RΩ汇总!K:K&gt;0,RΩ汇总!K:K)),RΩ汇总!K:K,0))</f>
        <v>#N/A</v>
      </c>
      <c r="L21" s="2">
        <f>RΩ汇总!L20</f>
        <v>0</v>
      </c>
      <c r="M21" s="1" cm="1">
        <f t="array" ref="M21">RΩ汇总!M20-INDEX(RΩ汇总!M:M,MATCH(MIN(IF(RΩ汇总!N:N&gt;0,RΩ汇总!N:N)),RΩ汇总!N:N,0))</f>
        <v>2.0615694368676385E-3</v>
      </c>
      <c r="N21" s="1">
        <v>7.5704615464655886E-3</v>
      </c>
      <c r="O21" s="1" t="e" cm="1">
        <f t="array" ref="O21">RΩ汇总!O20-INDEX(RΩ汇总!O:O,MATCH(MIN(IF(RΩ汇总!O:O&gt;0,RΩ汇总!O:O)),RΩ汇总!O:O,0))</f>
        <v>#N/A</v>
      </c>
      <c r="P21" s="1">
        <f>RΩ汇总!P20</f>
        <v>0</v>
      </c>
    </row>
    <row r="22" spans="1:16" x14ac:dyDescent="0.2">
      <c r="A22" s="3" cm="1">
        <f t="array" ref="A22">RΩ汇总!A21-INDEX(RΩ汇总!A:A,MATCH(MIN(IF(RΩ汇总!B:B&gt;0,RΩ汇总!B:B)),RΩ汇总!B:B,0))</f>
        <v>7.7643544285799226E-4</v>
      </c>
      <c r="B22" s="3">
        <v>2.3497546280711748E-3</v>
      </c>
      <c r="C22" s="3" t="e" cm="1">
        <f t="array" ref="C22">RΩ汇总!C21-INDEX(RΩ汇总!C:C,MATCH(MIN(IF(RΩ汇总!D:D&gt;0,RΩ汇总!D:D)),RΩ汇总!D:D,0))</f>
        <v>#N/A</v>
      </c>
      <c r="D22" s="3">
        <f>RΩ汇总!D21</f>
        <v>0</v>
      </c>
      <c r="E22" s="4" cm="1">
        <f t="array" ref="E22">RΩ汇总!E21-INDEX(RΩ汇总!E:E,MATCH(MIN(IF(RΩ汇总!F:F&gt;0,RΩ汇总!F:F)),RΩ汇总!F:F,0))</f>
        <v>1.9232447675322506E-3</v>
      </c>
      <c r="F22" s="4">
        <v>5.2175706631715632E-3</v>
      </c>
      <c r="G22" s="4" t="e" cm="1">
        <f t="array" ref="G22">RΩ汇总!G21-INDEX(RΩ汇总!G:G,MATCH(MIN(IF(RΩ汇总!G:G&gt;0,RΩ汇总!G:G)),RΩ汇总!G:G,0))</f>
        <v>#N/A</v>
      </c>
      <c r="H22" s="4">
        <f>RΩ汇总!H21</f>
        <v>0</v>
      </c>
      <c r="I22" s="2" cm="1">
        <f t="array" ref="I22">RΩ汇总!I21-INDEX(RΩ汇总!I:I,MATCH(MIN(IF(RΩ汇总!J:J&gt;0,RΩ汇总!J:J)),RΩ汇总!J:J,0))</f>
        <v>2.5039000838703307E-3</v>
      </c>
      <c r="J22" s="2">
        <v>6.5173773271937257E-3</v>
      </c>
      <c r="K22" s="2" t="e" cm="1">
        <f t="array" ref="K22">RΩ汇总!K21-INDEX(RΩ汇总!K:K,MATCH(MIN(IF(RΩ汇总!K:K&gt;0,RΩ汇总!K:K)),RΩ汇总!K:K,0))</f>
        <v>#N/A</v>
      </c>
      <c r="L22" s="2">
        <f>RΩ汇总!L21</f>
        <v>0</v>
      </c>
      <c r="M22" s="1" cm="1">
        <f t="array" ref="M22">RΩ汇总!M21-INDEX(RΩ汇总!M:M,MATCH(MIN(IF(RΩ汇总!N:N&gt;0,RΩ汇总!N:N)),RΩ汇总!N:N,0))</f>
        <v>3.5369542676675358E-3</v>
      </c>
      <c r="N22" s="1">
        <v>1.0104563095742872E-2</v>
      </c>
      <c r="O22" s="1" t="e" cm="1">
        <f t="array" ref="O22">RΩ汇总!O21-INDEX(RΩ汇总!O:O,MATCH(MIN(IF(RΩ汇总!O:O&gt;0,RΩ汇总!O:O)),RΩ汇总!O:O,0))</f>
        <v>#N/A</v>
      </c>
      <c r="P22" s="1">
        <f>RΩ汇总!P21</f>
        <v>0</v>
      </c>
    </row>
    <row r="23" spans="1:16" x14ac:dyDescent="0.2">
      <c r="A23" s="3" cm="1">
        <f t="array" ref="A23">RΩ汇总!A22-INDEX(RΩ汇总!A:A,MATCH(MIN(IF(RΩ汇总!B:B&gt;0,RΩ汇总!B:B)),RΩ汇总!B:B,0))</f>
        <v>1.6246345311965171E-3</v>
      </c>
      <c r="B23" s="3">
        <v>3.5879629913260816E-3</v>
      </c>
      <c r="C23" s="3" t="e" cm="1">
        <f t="array" ref="C23">RΩ汇总!C22-INDEX(RΩ汇总!C:C,MATCH(MIN(IF(RΩ汇总!D:D&gt;0,RΩ汇总!D:D)),RΩ汇总!D:D,0))</f>
        <v>#N/A</v>
      </c>
      <c r="D23" s="3">
        <f>RΩ汇总!D22</f>
        <v>0</v>
      </c>
      <c r="E23" s="4" cm="1">
        <f t="array" ref="E23">RΩ汇总!E22-INDEX(RΩ汇总!E:E,MATCH(MIN(IF(RΩ汇总!F:F&gt;0,RΩ汇总!F:F)),RΩ汇总!F:F,0))</f>
        <v>3.0372883140765139E-3</v>
      </c>
      <c r="F23" s="4">
        <v>6.8796001201408665E-3</v>
      </c>
      <c r="G23" s="4" t="e" cm="1">
        <f t="array" ref="G23">RΩ汇总!G22-INDEX(RΩ汇总!G:G,MATCH(MIN(IF(RΩ汇总!G:G&gt;0,RΩ汇总!G:G)),RΩ汇总!G:G,0))</f>
        <v>#N/A</v>
      </c>
      <c r="H23" s="4">
        <f>RΩ汇总!H22</f>
        <v>0</v>
      </c>
      <c r="I23" s="2" cm="1">
        <f t="array" ref="I23">RΩ汇总!I22-INDEX(RΩ汇总!I:I,MATCH(MIN(IF(RΩ汇总!J:J&gt;0,RΩ汇总!J:J)),RΩ汇总!J:J,0))</f>
        <v>3.7857141775526904E-3</v>
      </c>
      <c r="J23" s="2">
        <v>8.3328815907172792E-3</v>
      </c>
      <c r="K23" s="2" t="e" cm="1">
        <f t="array" ref="K23">RΩ汇总!K22-INDEX(RΩ汇总!K:K,MATCH(MIN(IF(RΩ汇总!K:K&gt;0,RΩ汇总!K:K)),RΩ汇总!K:K,0))</f>
        <v>#N/A</v>
      </c>
      <c r="L23" s="2">
        <f>RΩ汇总!L22</f>
        <v>0</v>
      </c>
      <c r="M23" s="1" cm="1">
        <f t="array" ref="M23">RΩ汇总!M22-INDEX(RΩ汇总!M:M,MATCH(MIN(IF(RΩ汇总!N:N&gt;0,RΩ汇总!N:N)),RΩ汇总!N:N,0))</f>
        <v>5.2413110038433408E-3</v>
      </c>
      <c r="N23" s="1">
        <v>1.2471911950447801E-2</v>
      </c>
      <c r="O23" s="1" t="e" cm="1">
        <f t="array" ref="O23">RΩ汇总!O22-INDEX(RΩ汇总!O:O,MATCH(MIN(IF(RΩ汇总!O:O&gt;0,RΩ汇总!O:O)),RΩ汇总!O:O,0))</f>
        <v>#N/A</v>
      </c>
      <c r="P23" s="1">
        <f>RΩ汇总!P22</f>
        <v>0</v>
      </c>
    </row>
    <row r="24" spans="1:16" x14ac:dyDescent="0.2">
      <c r="A24" s="3" cm="1">
        <f t="array" ref="A24">RΩ汇总!A23-INDEX(RΩ汇总!A:A,MATCH(MIN(IF(RΩ汇总!B:B&gt;0,RΩ汇总!B:B)),RΩ汇总!B:B,0))</f>
        <v>2.4693390428809081E-3</v>
      </c>
      <c r="B24" s="3">
        <v>4.6691740164258562E-3</v>
      </c>
      <c r="C24" s="3" t="e" cm="1">
        <f t="array" ref="C24">RΩ汇总!C23-INDEX(RΩ汇总!C:C,MATCH(MIN(IF(RΩ汇总!D:D&gt;0,RΩ汇总!D:D)),RΩ汇总!D:D,0))</f>
        <v>#N/A</v>
      </c>
      <c r="D24" s="3">
        <f>RΩ汇总!D23</f>
        <v>0</v>
      </c>
      <c r="E24" s="4" cm="1">
        <f t="array" ref="E24">RΩ汇总!E23-INDEX(RΩ汇总!E:E,MATCH(MIN(IF(RΩ汇总!F:F&gt;0,RΩ汇总!F:F)),RΩ汇总!F:F,0))</f>
        <v>4.4061359342785211E-3</v>
      </c>
      <c r="F24" s="4">
        <v>8.358496721112255E-3</v>
      </c>
      <c r="G24" s="4" t="e" cm="1">
        <f t="array" ref="G24">RΩ汇总!G23-INDEX(RΩ汇总!G:G,MATCH(MIN(IF(RΩ汇总!G:G&gt;0,RΩ汇总!G:G)),RΩ汇总!G:G,0))</f>
        <v>#N/A</v>
      </c>
      <c r="H24" s="4">
        <f>RΩ汇总!H23</f>
        <v>0</v>
      </c>
      <c r="I24" s="2" cm="1">
        <f t="array" ref="I24">RΩ汇总!I23-INDEX(RΩ汇总!I:I,MATCH(MIN(IF(RΩ汇总!J:J&gt;0,RΩ汇总!J:J)),RΩ汇总!J:J,0))</f>
        <v>5.2737445755643708E-3</v>
      </c>
      <c r="J24" s="2">
        <v>1.0170430026686706E-2</v>
      </c>
      <c r="K24" s="2" t="e" cm="1">
        <f t="array" ref="K24">RΩ汇总!K23-INDEX(RΩ汇总!K:K,MATCH(MIN(IF(RΩ汇总!K:K&gt;0,RΩ汇总!K:K)),RΩ汇总!K:K,0))</f>
        <v>#N/A</v>
      </c>
      <c r="L24" s="2">
        <f>RΩ汇总!L23</f>
        <v>0</v>
      </c>
      <c r="M24" s="1" cm="1">
        <f t="array" ref="M24">RΩ汇总!M23-INDEX(RΩ汇总!M:M,MATCH(MIN(IF(RΩ汇总!N:N&gt;0,RΩ汇总!N:N)),RΩ汇总!N:N,0))</f>
        <v>7.1138477827550339E-3</v>
      </c>
      <c r="N24" s="1">
        <v>1.5036579976427869E-2</v>
      </c>
      <c r="O24" s="1" t="e" cm="1">
        <f t="array" ref="O24">RΩ汇总!O23-INDEX(RΩ汇总!O:O,MATCH(MIN(IF(RΩ汇总!O:O&gt;0,RΩ汇总!O:O)),RΩ汇总!O:O,0))</f>
        <v>#N/A</v>
      </c>
      <c r="P24" s="1">
        <f>RΩ汇总!P23</f>
        <v>0</v>
      </c>
    </row>
    <row r="25" spans="1:16" x14ac:dyDescent="0.2">
      <c r="A25" s="3" cm="1">
        <f t="array" ref="A25">RΩ汇总!A24-INDEX(RΩ汇总!A:A,MATCH(MIN(IF(RΩ汇总!B:B&gt;0,RΩ汇总!B:B)),RΩ汇总!B:B,0))</f>
        <v>3.5100725432953561E-3</v>
      </c>
      <c r="B25" s="3">
        <v>5.6620207718587326E-3</v>
      </c>
      <c r="C25" s="3" t="e" cm="1">
        <f t="array" ref="C25">RΩ汇总!C24-INDEX(RΩ汇总!C:C,MATCH(MIN(IF(RΩ汇总!D:D&gt;0,RΩ汇总!D:D)),RΩ汇总!D:D,0))</f>
        <v>#N/A</v>
      </c>
      <c r="D25" s="3">
        <f>RΩ汇总!D24</f>
        <v>0</v>
      </c>
      <c r="E25" s="4" cm="1">
        <f t="array" ref="E25">RΩ汇总!E24-INDEX(RΩ汇总!E:E,MATCH(MIN(IF(RΩ汇总!F:F&gt;0,RΩ汇总!F:F)),RΩ汇总!F:F,0))</f>
        <v>5.9159718370036529E-3</v>
      </c>
      <c r="F25" s="4">
        <v>9.9664045239265999E-3</v>
      </c>
      <c r="G25" s="4" t="e" cm="1">
        <f t="array" ref="G25">RΩ汇总!G24-INDEX(RΩ汇总!G:G,MATCH(MIN(IF(RΩ汇总!G:G&gt;0,RΩ汇总!G:G)),RΩ汇总!G:G,0))</f>
        <v>#N/A</v>
      </c>
      <c r="H25" s="4">
        <f>RΩ汇总!H24</f>
        <v>0</v>
      </c>
      <c r="I25" s="2" cm="1">
        <f t="array" ref="I25">RΩ汇总!I24-INDEX(RΩ汇总!I:I,MATCH(MIN(IF(RΩ汇总!J:J&gt;0,RΩ汇总!J:J)),RΩ汇总!J:J,0))</f>
        <v>7.1080496587267727E-3</v>
      </c>
      <c r="J25" s="2">
        <v>1.1996146929427347E-2</v>
      </c>
      <c r="K25" s="2" t="e" cm="1">
        <f t="array" ref="K25">RΩ汇总!K24-INDEX(RΩ汇总!K:K,MATCH(MIN(IF(RΩ汇总!K:K&gt;0,RΩ汇总!K:K)),RΩ汇总!K:K,0))</f>
        <v>#N/A</v>
      </c>
      <c r="L25" s="2">
        <f>RΩ汇总!L24</f>
        <v>0</v>
      </c>
      <c r="M25" s="1" cm="1">
        <f t="array" ref="M25">RΩ汇总!M24-INDEX(RΩ汇总!M:M,MATCH(MIN(IF(RΩ汇总!N:N&gt;0,RΩ汇总!N:N)),RΩ汇总!N:N,0))</f>
        <v>9.4665025861347396E-3</v>
      </c>
      <c r="N25" s="1">
        <v>1.7901692375044721E-2</v>
      </c>
      <c r="O25" s="1" t="e" cm="1">
        <f t="array" ref="O25">RΩ汇总!O24-INDEX(RΩ汇总!O:O,MATCH(MIN(IF(RΩ汇总!O:O&gt;0,RΩ汇总!O:O)),RΩ汇总!O:O,0))</f>
        <v>#N/A</v>
      </c>
      <c r="P25" s="1">
        <f>RΩ汇总!P24</f>
        <v>0</v>
      </c>
    </row>
    <row r="26" spans="1:16" x14ac:dyDescent="0.2">
      <c r="A26" s="3" cm="1">
        <f t="array" ref="A26">RΩ汇总!A25-INDEX(RΩ汇总!A:A,MATCH(MIN(IF(RΩ汇总!B:B&gt;0,RΩ汇总!B:B)),RΩ汇总!B:B,0))</f>
        <v>4.4994047633440115E-3</v>
      </c>
      <c r="B26" s="3">
        <v>6.5048713150196134E-3</v>
      </c>
      <c r="C26" s="3" t="e" cm="1">
        <f t="array" ref="C26">RΩ汇总!C25-INDEX(RΩ汇总!C:C,MATCH(MIN(IF(RΩ汇总!D:D&gt;0,RΩ汇总!D:D)),RΩ汇总!D:D,0))</f>
        <v>#N/A</v>
      </c>
      <c r="D26" s="3">
        <f>RΩ汇总!D25</f>
        <v>0</v>
      </c>
      <c r="E26" s="4" cm="1">
        <f t="array" ref="E26">RΩ汇总!E25-INDEX(RΩ汇总!E:E,MATCH(MIN(IF(RΩ汇总!F:F&gt;0,RΩ汇总!F:F)),RΩ汇总!F:F,0))</f>
        <v>7.4885773159423796E-3</v>
      </c>
      <c r="F26" s="4">
        <v>1.1300046249869199E-2</v>
      </c>
      <c r="G26" s="4" t="e" cm="1">
        <f t="array" ref="G26">RΩ汇总!G25-INDEX(RΩ汇总!G:G,MATCH(MIN(IF(RΩ汇总!G:G&gt;0,RΩ汇总!G:G)),RΩ汇总!G:G,0))</f>
        <v>#N/A</v>
      </c>
      <c r="H26" s="4">
        <f>RΩ汇总!H25</f>
        <v>0</v>
      </c>
      <c r="I26" s="2" cm="1">
        <f t="array" ref="I26">RΩ汇总!I25-INDEX(RΩ汇总!I:I,MATCH(MIN(IF(RΩ汇总!J:J&gt;0,RΩ汇总!J:J)),RΩ汇总!J:J,0))</f>
        <v>8.8846131249606941E-3</v>
      </c>
      <c r="J26" s="2">
        <v>1.3763326765768344E-2</v>
      </c>
      <c r="K26" s="2" t="e" cm="1">
        <f t="array" ref="K26">RΩ汇总!K25-INDEX(RΩ汇总!K:K,MATCH(MIN(IF(RΩ汇总!K:K&gt;0,RΩ汇总!K:K)),RΩ汇总!K:K,0))</f>
        <v>#N/A</v>
      </c>
      <c r="L26" s="2">
        <f>RΩ汇总!L25</f>
        <v>0</v>
      </c>
      <c r="M26" s="1" cm="1">
        <f t="array" ref="M26">RΩ汇总!M25-INDEX(RΩ汇总!M:M,MATCH(MIN(IF(RΩ汇总!N:N&gt;0,RΩ汇总!N:N)),RΩ汇总!N:N,0))</f>
        <v>1.1825716080801851E-2</v>
      </c>
      <c r="N26" s="1">
        <v>2.0466907065596656E-2</v>
      </c>
      <c r="O26" s="1" t="e" cm="1">
        <f t="array" ref="O26">RΩ汇总!O25-INDEX(RΩ汇总!O:O,MATCH(MIN(IF(RΩ汇总!O:O&gt;0,RΩ汇总!O:O)),RΩ汇总!O:O,0))</f>
        <v>#N/A</v>
      </c>
      <c r="P26" s="1">
        <f>RΩ汇总!P25</f>
        <v>0</v>
      </c>
    </row>
    <row r="27" spans="1:16" x14ac:dyDescent="0.2">
      <c r="A27" s="3" cm="1">
        <f t="array" ref="A27">RΩ汇总!A26-INDEX(RΩ汇总!A:A,MATCH(MIN(IF(RΩ汇总!B:B&gt;0,RΩ汇总!B:B)),RΩ汇总!B:B,0))</f>
        <v>5.8462717652471019E-3</v>
      </c>
      <c r="B27" s="3">
        <v>7.3007830271191168E-3</v>
      </c>
      <c r="C27" s="3" t="e" cm="1">
        <f t="array" ref="C27">RΩ汇总!C26-INDEX(RΩ汇总!C:C,MATCH(MIN(IF(RΩ汇总!D:D&gt;0,RΩ汇总!D:D)),RΩ汇总!D:D,0))</f>
        <v>#N/A</v>
      </c>
      <c r="D27" s="3">
        <f>RΩ汇总!D26</f>
        <v>0</v>
      </c>
      <c r="E27" s="4" cm="1">
        <f t="array" ref="E27">RΩ汇总!E26-INDEX(RΩ汇总!E:E,MATCH(MIN(IF(RΩ汇总!F:F&gt;0,RΩ汇总!F:F)),RΩ汇总!F:F,0))</f>
        <v>9.1967606723283579E-3</v>
      </c>
      <c r="F27" s="4">
        <v>1.2822544924945863E-2</v>
      </c>
      <c r="G27" s="4" t="e" cm="1">
        <f t="array" ref="G27">RΩ汇总!G26-INDEX(RΩ汇总!G:G,MATCH(MIN(IF(RΩ汇总!G:G&gt;0,RΩ汇总!G:G)),RΩ汇总!G:G,0))</f>
        <v>#N/A</v>
      </c>
      <c r="H27" s="4">
        <f>RΩ汇总!H26</f>
        <v>0</v>
      </c>
      <c r="I27" s="2" cm="1">
        <f t="array" ref="I27">RΩ汇总!I26-INDEX(RΩ汇总!I:I,MATCH(MIN(IF(RΩ汇总!J:J&gt;0,RΩ汇总!J:J)),RΩ汇总!J:J,0))</f>
        <v>1.1120735377072422E-2</v>
      </c>
      <c r="J27" s="2">
        <v>1.5576320537573853E-2</v>
      </c>
      <c r="K27" s="2" t="e" cm="1">
        <f t="array" ref="K27">RΩ汇总!K26-INDEX(RΩ汇总!K:K,MATCH(MIN(IF(RΩ汇总!K:K&gt;0,RΩ汇总!K:K)),RΩ汇总!K:K,0))</f>
        <v>#N/A</v>
      </c>
      <c r="L27" s="2">
        <f>RΩ汇总!L26</f>
        <v>0</v>
      </c>
      <c r="M27" s="1" cm="1">
        <f t="array" ref="M27">RΩ汇总!M26-INDEX(RΩ汇总!M:M,MATCH(MIN(IF(RΩ汇总!N:N&gt;0,RΩ汇总!N:N)),RΩ汇总!N:N,0))</f>
        <v>1.4963373765940868E-2</v>
      </c>
      <c r="N27" s="1">
        <v>2.346268724038638E-2</v>
      </c>
      <c r="O27" s="1" t="e" cm="1">
        <f t="array" ref="O27">RΩ汇总!O26-INDEX(RΩ汇总!O:O,MATCH(MIN(IF(RΩ汇总!O:O&gt;0,RΩ汇总!O:O)),RΩ汇总!O:O,0))</f>
        <v>#N/A</v>
      </c>
      <c r="P27" s="1">
        <f>RΩ汇总!P26</f>
        <v>0</v>
      </c>
    </row>
    <row r="28" spans="1:16" x14ac:dyDescent="0.2">
      <c r="A28" s="3" cm="1">
        <f t="array" ref="A28">RΩ汇总!A27-INDEX(RΩ汇总!A:A,MATCH(MIN(IF(RΩ汇总!B:B&gt;0,RΩ汇总!B:B)),RΩ汇总!B:B,0))</f>
        <v>7.1563979652465581E-3</v>
      </c>
      <c r="B28" s="3">
        <v>8.1819708145147337E-3</v>
      </c>
      <c r="C28" s="3" t="e" cm="1">
        <f t="array" ref="C28">RΩ汇总!C27-INDEX(RΩ汇总!C:C,MATCH(MIN(IF(RΩ汇总!D:D&gt;0,RΩ汇总!D:D)),RΩ汇总!D:D,0))</f>
        <v>#N/A</v>
      </c>
      <c r="D28" s="3">
        <f>RΩ汇总!D27</f>
        <v>0</v>
      </c>
      <c r="E28" s="4" cm="1">
        <f t="array" ref="E28">RΩ汇总!E27-INDEX(RΩ汇总!E:E,MATCH(MIN(IF(RΩ汇总!F:F&gt;0,RΩ汇总!F:F)),RΩ汇总!F:F,0))</f>
        <v>1.1380689907610458E-2</v>
      </c>
      <c r="F28" s="4">
        <v>1.4353069462574676E-2</v>
      </c>
      <c r="G28" s="4" t="e" cm="1">
        <f t="array" ref="G28">RΩ汇总!G27-INDEX(RΩ汇总!G:G,MATCH(MIN(IF(RΩ汇总!G:G&gt;0,RΩ汇总!G:G)),RΩ汇总!G:G,0))</f>
        <v>#N/A</v>
      </c>
      <c r="H28" s="4">
        <f>RΩ汇总!H27</f>
        <v>0</v>
      </c>
      <c r="I28" s="2" cm="1">
        <f t="array" ref="I28">RΩ汇总!I27-INDEX(RΩ汇总!I:I,MATCH(MIN(IF(RΩ汇总!J:J&gt;0,RΩ汇总!J:J)),RΩ汇总!J:J,0))</f>
        <v>1.3821595117593177E-2</v>
      </c>
      <c r="J28" s="2">
        <v>1.7291671290360026E-2</v>
      </c>
      <c r="K28" s="2" t="e" cm="1">
        <f t="array" ref="K28">RΩ汇总!K27-INDEX(RΩ汇总!K:K,MATCH(MIN(IF(RΩ汇总!K:K&gt;0,RΩ汇总!K:K)),RΩ汇总!K:K,0))</f>
        <v>#N/A</v>
      </c>
      <c r="L28" s="2">
        <f>RΩ汇总!L27</f>
        <v>0</v>
      </c>
      <c r="M28" s="1" cm="1">
        <f t="array" ref="M28">RΩ汇总!M27-INDEX(RΩ汇总!M:M,MATCH(MIN(IF(RΩ汇总!N:N&gt;0,RΩ汇总!N:N)),RΩ汇总!N:N,0))</f>
        <v>1.872095762949838E-2</v>
      </c>
      <c r="N28" s="1">
        <v>2.6750497934687856E-2</v>
      </c>
      <c r="O28" s="1" t="e" cm="1">
        <f t="array" ref="O28">RΩ汇总!O27-INDEX(RΩ汇总!O:O,MATCH(MIN(IF(RΩ汇总!O:O&gt;0,RΩ汇总!O:O)),RΩ汇总!O:O,0))</f>
        <v>#N/A</v>
      </c>
      <c r="P28" s="1">
        <f>RΩ汇总!P27</f>
        <v>0</v>
      </c>
    </row>
    <row r="29" spans="1:16" x14ac:dyDescent="0.2">
      <c r="A29" s="3" cm="1">
        <f t="array" ref="A29">RΩ汇总!A28-INDEX(RΩ汇总!A:A,MATCH(MIN(IF(RΩ汇总!B:B&gt;0,RΩ汇总!B:B)),RΩ汇总!B:B,0))</f>
        <v>8.5090258333285207E-3</v>
      </c>
      <c r="B29" s="3">
        <v>8.7949807502119906E-3</v>
      </c>
      <c r="C29" s="3" t="e" cm="1">
        <f t="array" ref="C29">RΩ汇总!C28-INDEX(RΩ汇总!C:C,MATCH(MIN(IF(RΩ汇总!D:D&gt;0,RΩ汇总!D:D)),RΩ汇总!D:D,0))</f>
        <v>#N/A</v>
      </c>
      <c r="D29" s="3">
        <f>RΩ汇总!D28</f>
        <v>0</v>
      </c>
      <c r="E29" s="4" cm="1">
        <f t="array" ref="E29">RΩ汇总!E28-INDEX(RΩ汇总!E:E,MATCH(MIN(IF(RΩ汇总!F:F&gt;0,RΩ汇总!F:F)),RΩ汇总!F:F,0))</f>
        <v>1.3435500344659707E-2</v>
      </c>
      <c r="F29" s="4">
        <v>1.5742026465088699E-2</v>
      </c>
      <c r="G29" s="4" t="e" cm="1">
        <f t="array" ref="G29">RΩ汇总!G28-INDEX(RΩ汇总!G:G,MATCH(MIN(IF(RΩ汇总!G:G&gt;0,RΩ汇总!G:G)),RΩ汇总!G:G,0))</f>
        <v>#N/A</v>
      </c>
      <c r="H29" s="4">
        <f>RΩ汇总!H28</f>
        <v>0</v>
      </c>
      <c r="I29" s="2" cm="1">
        <f t="array" ref="I29">RΩ汇总!I28-INDEX(RΩ汇总!I:I,MATCH(MIN(IF(RΩ汇总!J:J&gt;0,RΩ汇总!J:J)),RΩ汇总!J:J,0))</f>
        <v>1.6446496087539259E-2</v>
      </c>
      <c r="J29" s="2">
        <v>1.8965658801423226E-2</v>
      </c>
      <c r="K29" s="2" t="e" cm="1">
        <f t="array" ref="K29">RΩ汇总!K28-INDEX(RΩ汇总!K:K,MATCH(MIN(IF(RΩ汇总!K:K&gt;0,RΩ汇总!K:K)),RΩ汇总!K:K,0))</f>
        <v>#N/A</v>
      </c>
      <c r="L29" s="2">
        <f>RΩ汇总!L28</f>
        <v>0</v>
      </c>
      <c r="M29" s="1" cm="1">
        <f t="array" ref="M29">RΩ汇总!M28-INDEX(RΩ汇总!M:M,MATCH(MIN(IF(RΩ汇总!N:N&gt;0,RΩ汇总!N:N)),RΩ汇总!N:N,0))</f>
        <v>2.2409017801878151E-2</v>
      </c>
      <c r="N29" s="1">
        <v>2.9754598703135543E-2</v>
      </c>
      <c r="O29" s="1" t="e" cm="1">
        <f t="array" ref="O29">RΩ汇总!O28-INDEX(RΩ汇总!O:O,MATCH(MIN(IF(RΩ汇总!O:O&gt;0,RΩ汇总!O:O)),RΩ汇总!O:O,0))</f>
        <v>#N/A</v>
      </c>
      <c r="P29" s="1">
        <f>RΩ汇总!P28</f>
        <v>0</v>
      </c>
    </row>
    <row r="30" spans="1:16" x14ac:dyDescent="0.2">
      <c r="A30" s="3" cm="1">
        <f t="array" ref="A30">RΩ汇总!A29-INDEX(RΩ汇总!A:A,MATCH(MIN(IF(RΩ汇总!B:B&gt;0,RΩ汇总!B:B)),RΩ汇总!B:B,0))</f>
        <v>9.9692209576858482E-3</v>
      </c>
      <c r="B30" s="3">
        <v>9.2904062670262841E-3</v>
      </c>
      <c r="C30" s="3" t="e" cm="1">
        <f t="array" ref="C30">RΩ汇总!C29-INDEX(RΩ汇总!C:C,MATCH(MIN(IF(RΩ汇总!D:D&gt;0,RΩ汇总!D:D)),RΩ汇总!D:D,0))</f>
        <v>#N/A</v>
      </c>
      <c r="D30" s="3">
        <f>RΩ汇总!D29</f>
        <v>0</v>
      </c>
      <c r="E30" s="4" cm="1">
        <f t="array" ref="E30">RΩ汇总!E29-INDEX(RΩ汇总!E:E,MATCH(MIN(IF(RΩ汇总!F:F&gt;0,RΩ汇总!F:F)),RΩ汇总!F:F,0))</f>
        <v>1.6187961317837896E-2</v>
      </c>
      <c r="F30" s="4">
        <v>1.7228242956309946E-2</v>
      </c>
      <c r="G30" s="4" t="e" cm="1">
        <f t="array" ref="G30">RΩ汇总!G29-INDEX(RΩ汇总!G:G,MATCH(MIN(IF(RΩ汇总!G:G&gt;0,RΩ汇总!G:G)),RΩ汇总!G:G,0))</f>
        <v>#N/A</v>
      </c>
      <c r="H30" s="4">
        <f>RΩ汇总!H29</f>
        <v>0</v>
      </c>
      <c r="I30" s="2" cm="1">
        <f t="array" ref="I30">RΩ汇总!I29-INDEX(RΩ汇总!I:I,MATCH(MIN(IF(RΩ汇总!J:J&gt;0,RΩ汇总!J:J)),RΩ汇总!J:J,0))</f>
        <v>1.9700689335660743E-2</v>
      </c>
      <c r="J30" s="2">
        <v>2.0816926336921261E-2</v>
      </c>
      <c r="K30" s="2" t="e" cm="1">
        <f t="array" ref="K30">RΩ汇总!K29-INDEX(RΩ汇总!K:K,MATCH(MIN(IF(RΩ汇总!K:K&gt;0,RΩ汇总!K:K)),RΩ汇总!K:K,0))</f>
        <v>#N/A</v>
      </c>
      <c r="L30" s="2">
        <f>RΩ汇总!L29</f>
        <v>0</v>
      </c>
      <c r="M30" s="1" cm="1">
        <f t="array" ref="M30">RΩ汇总!M29-INDEX(RΩ汇总!M:M,MATCH(MIN(IF(RΩ汇总!N:N&gt;0,RΩ汇总!N:N)),RΩ汇总!N:N,0))</f>
        <v>2.705653593297036E-2</v>
      </c>
      <c r="N30" s="1">
        <v>3.3341548221711634E-2</v>
      </c>
      <c r="O30" s="1" t="e" cm="1">
        <f t="array" ref="O30">RΩ汇总!O29-INDEX(RΩ汇总!O:O,MATCH(MIN(IF(RΩ汇总!O:O&gt;0,RΩ汇总!O:O)),RΩ汇总!O:O,0))</f>
        <v>#N/A</v>
      </c>
      <c r="P30" s="1">
        <f>RΩ汇总!P29</f>
        <v>0</v>
      </c>
    </row>
    <row r="31" spans="1:16" x14ac:dyDescent="0.2">
      <c r="A31" s="3" cm="1">
        <f t="array" ref="A31">RΩ汇总!A30-INDEX(RΩ汇总!A:A,MATCH(MIN(IF(RΩ汇总!B:B&gt;0,RΩ汇总!B:B)),RΩ汇总!B:B,0))</f>
        <v>1.158036392421144E-2</v>
      </c>
      <c r="B31" s="3">
        <v>1.0192904084238869E-2</v>
      </c>
      <c r="C31" s="3" t="e" cm="1">
        <f t="array" ref="C31">RΩ汇总!C30-INDEX(RΩ汇总!C:C,MATCH(MIN(IF(RΩ汇总!D:D&gt;0,RΩ汇总!D:D)),RΩ汇总!D:D,0))</f>
        <v>#N/A</v>
      </c>
      <c r="D31" s="3">
        <f>RΩ汇总!D30</f>
        <v>0</v>
      </c>
      <c r="E31" s="4" cm="1">
        <f t="array" ref="E31">RΩ汇总!E30-INDEX(RΩ汇总!E:E,MATCH(MIN(IF(RΩ汇总!F:F&gt;0,RΩ汇总!F:F)),RΩ汇总!F:F,0))</f>
        <v>1.9012313805339576E-2</v>
      </c>
      <c r="F31" s="4">
        <v>1.8713855554373549E-2</v>
      </c>
      <c r="G31" s="4" t="e" cm="1">
        <f t="array" ref="G31">RΩ汇总!G30-INDEX(RΩ汇总!G:G,MATCH(MIN(IF(RΩ汇总!G:G&gt;0,RΩ汇总!G:G)),RΩ汇总!G:G,0))</f>
        <v>#N/A</v>
      </c>
      <c r="H31" s="4">
        <f>RΩ汇总!H30</f>
        <v>0</v>
      </c>
      <c r="I31" s="2" cm="1">
        <f t="array" ref="I31">RΩ汇总!I30-INDEX(RΩ汇总!I:I,MATCH(MIN(IF(RΩ汇总!J:J&gt;0,RΩ汇总!J:J)),RΩ汇总!J:J,0))</f>
        <v>2.325834943867397E-2</v>
      </c>
      <c r="J31" s="2">
        <v>2.2528375686056409E-2</v>
      </c>
      <c r="K31" s="2" t="e" cm="1">
        <f t="array" ref="K31">RΩ汇总!K30-INDEX(RΩ汇总!K:K,MATCH(MIN(IF(RΩ汇总!K:K&gt;0,RΩ汇总!K:K)),RΩ汇总!K:K,0))</f>
        <v>#N/A</v>
      </c>
      <c r="L31" s="2">
        <f>RΩ汇总!L30</f>
        <v>0</v>
      </c>
      <c r="M31" s="1" cm="1">
        <f t="array" ref="M31">RΩ汇总!M30-INDEX(RΩ汇总!M:M,MATCH(MIN(IF(RΩ汇总!N:N&gt;0,RΩ汇总!N:N)),RΩ汇总!N:N,0))</f>
        <v>3.321776496471357E-2</v>
      </c>
      <c r="N31" s="1">
        <v>3.6812333818283527E-2</v>
      </c>
      <c r="O31" s="1" t="e" cm="1">
        <f t="array" ref="O31">RΩ汇总!O30-INDEX(RΩ汇总!O:O,MATCH(MIN(IF(RΩ汇总!O:O&gt;0,RΩ汇总!O:O)),RΩ汇总!O:O,0))</f>
        <v>#N/A</v>
      </c>
      <c r="P31" s="1">
        <f>RΩ汇总!P30</f>
        <v>0</v>
      </c>
    </row>
    <row r="32" spans="1:16" x14ac:dyDescent="0.2">
      <c r="A32" s="3" cm="1">
        <f t="array" ref="A32">RΩ汇总!A31-INDEX(RΩ汇总!A:A,MATCH(MIN(IF(RΩ汇总!B:B&gt;0,RΩ汇总!B:B)),RΩ汇总!B:B,0))</f>
        <v>1.3148800322177884E-2</v>
      </c>
      <c r="B32" s="3">
        <v>1.0826093490996927E-2</v>
      </c>
      <c r="C32" s="3" t="e" cm="1">
        <f t="array" ref="C32">RΩ汇总!C31-INDEX(RΩ汇总!C:C,MATCH(MIN(IF(RΩ汇总!D:D&gt;0,RΩ汇总!D:D)),RΩ汇总!D:D,0))</f>
        <v>#N/A</v>
      </c>
      <c r="D32" s="3">
        <f>RΩ汇总!D31</f>
        <v>0</v>
      </c>
      <c r="E32" s="4" cm="1">
        <f t="array" ref="E32">RΩ汇总!E31-INDEX(RΩ汇总!E:E,MATCH(MIN(IF(RΩ汇总!F:F&gt;0,RΩ汇总!F:F)),RΩ汇总!F:F,0))</f>
        <v>2.165745562716509E-2</v>
      </c>
      <c r="F32" s="4">
        <v>2.0064095972203305E-2</v>
      </c>
      <c r="G32" s="4" t="e" cm="1">
        <f t="array" ref="G32">RΩ汇总!G31-INDEX(RΩ汇总!G:G,MATCH(MIN(IF(RΩ汇总!G:G&gt;0,RΩ汇总!G:G)),RΩ汇总!G:G,0))</f>
        <v>#N/A</v>
      </c>
      <c r="H32" s="4">
        <f>RΩ汇总!H31</f>
        <v>0</v>
      </c>
      <c r="I32" s="2" cm="1">
        <f t="array" ref="I32">RΩ汇总!I31-INDEX(RΩ汇总!I:I,MATCH(MIN(IF(RΩ汇总!J:J&gt;0,RΩ汇总!J:J)),RΩ汇总!J:J,0))</f>
        <v>2.6773684768682859E-2</v>
      </c>
      <c r="J32" s="2">
        <v>2.3582319231457254E-2</v>
      </c>
      <c r="K32" s="2" t="e" cm="1">
        <f t="array" ref="K32">RΩ汇总!K31-INDEX(RΩ汇总!K:K,MATCH(MIN(IF(RΩ汇总!K:K&gt;0,RΩ汇总!K:K)),RΩ汇总!K:K,0))</f>
        <v>#N/A</v>
      </c>
      <c r="L32" s="2">
        <f>RΩ汇总!L31</f>
        <v>0</v>
      </c>
      <c r="M32" s="1" cm="1">
        <f t="array" ref="M32">RΩ汇总!M31-INDEX(RΩ汇总!M:M,MATCH(MIN(IF(RΩ汇总!N:N&gt;0,RΩ汇总!N:N)),RΩ汇总!N:N,0))</f>
        <v>3.8678767918957024E-2</v>
      </c>
      <c r="N32" s="1">
        <v>3.9763726431658354E-2</v>
      </c>
      <c r="O32" s="1" t="e" cm="1">
        <f t="array" ref="O32">RΩ汇总!O31-INDEX(RΩ汇总!O:O,MATCH(MIN(IF(RΩ汇总!O:O&gt;0,RΩ汇总!O:O)),RΩ汇总!O:O,0))</f>
        <v>#N/A</v>
      </c>
      <c r="P32" s="1">
        <f>RΩ汇总!P31</f>
        <v>0</v>
      </c>
    </row>
    <row r="33" spans="1:16" x14ac:dyDescent="0.2">
      <c r="A33" s="3" cm="1">
        <f t="array" ref="A33">RΩ汇总!A32-INDEX(RΩ汇总!A:A,MATCH(MIN(IF(RΩ汇总!B:B&gt;0,RΩ汇总!B:B)),RΩ汇总!B:B,0))</f>
        <v>1.5270461313901584E-2</v>
      </c>
      <c r="B33" s="3">
        <v>1.1449095463298137E-2</v>
      </c>
      <c r="C33" s="3" t="e" cm="1">
        <f t="array" ref="C33">RΩ汇总!C32-INDEX(RΩ汇总!C:C,MATCH(MIN(IF(RΩ汇总!D:D&gt;0,RΩ汇总!D:D)),RΩ汇总!D:D,0))</f>
        <v>#N/A</v>
      </c>
      <c r="D33" s="3">
        <f>RΩ汇总!D32</f>
        <v>0</v>
      </c>
      <c r="E33" s="4" cm="1">
        <f t="array" ref="E33">RΩ汇总!E32-INDEX(RΩ汇总!E:E,MATCH(MIN(IF(RΩ汇总!F:F&gt;0,RΩ汇总!F:F)),RΩ汇总!F:F,0))</f>
        <v>2.4992522174478837E-2</v>
      </c>
      <c r="F33" s="4">
        <v>2.1378162773520896E-2</v>
      </c>
      <c r="G33" s="4" t="e" cm="1">
        <f t="array" ref="G33">RΩ汇总!G32-INDEX(RΩ汇总!G:G,MATCH(MIN(IF(RΩ汇总!G:G&gt;0,RΩ汇总!G:G)),RΩ汇总!G:G,0))</f>
        <v>#N/A</v>
      </c>
      <c r="H33" s="4">
        <f>RΩ汇总!H32</f>
        <v>0</v>
      </c>
      <c r="I33" s="2" cm="1">
        <f t="array" ref="I33">RΩ汇总!I32-INDEX(RΩ汇总!I:I,MATCH(MIN(IF(RΩ汇总!J:J&gt;0,RΩ汇总!J:J)),RΩ汇总!J:J,0))</f>
        <v>3.1255498030969497E-2</v>
      </c>
      <c r="J33" s="2">
        <v>2.4985717468215644E-2</v>
      </c>
      <c r="K33" s="2" t="e" cm="1">
        <f t="array" ref="K33">RΩ汇总!K32-INDEX(RΩ汇总!K:K,MATCH(MIN(IF(RΩ汇总!K:K&gt;0,RΩ汇总!K:K)),RΩ汇总!K:K,0))</f>
        <v>#N/A</v>
      </c>
      <c r="L33" s="2">
        <f>RΩ汇总!L32</f>
        <v>0</v>
      </c>
      <c r="M33" s="1" cm="1">
        <f t="array" ref="M33">RΩ汇总!M32-INDEX(RΩ汇总!M:M,MATCH(MIN(IF(RΩ汇总!N:N&gt;0,RΩ汇总!N:N)),RΩ汇总!N:N,0))</f>
        <v>4.5322300501108137E-2</v>
      </c>
      <c r="N33" s="1">
        <v>4.2876219210050637E-2</v>
      </c>
      <c r="O33" s="1" t="e" cm="1">
        <f t="array" ref="O33">RΩ汇总!O32-INDEX(RΩ汇总!O:O,MATCH(MIN(IF(RΩ汇总!O:O&gt;0,RΩ汇总!O:O)),RΩ汇总!O:O,0))</f>
        <v>#N/A</v>
      </c>
      <c r="P33" s="1">
        <f>RΩ汇总!P32</f>
        <v>0</v>
      </c>
    </row>
    <row r="34" spans="1:16" x14ac:dyDescent="0.2">
      <c r="A34" s="3" cm="1">
        <f t="array" ref="A34">RΩ汇总!A33-INDEX(RΩ汇总!A:A,MATCH(MIN(IF(RΩ汇总!B:B&gt;0,RΩ汇总!B:B)),RΩ汇总!B:B,0))</f>
        <v>1.6956000755829981E-2</v>
      </c>
      <c r="B34" s="3">
        <v>1.2077476856464577E-2</v>
      </c>
      <c r="C34" s="3" t="e" cm="1">
        <f t="array" ref="C34">RΩ汇总!C33-INDEX(RΩ汇总!C:C,MATCH(MIN(IF(RΩ汇总!D:D&gt;0,RΩ汇总!D:D)),RΩ汇总!D:D,0))</f>
        <v>#N/A</v>
      </c>
      <c r="D34" s="3">
        <f>RΩ汇总!D33</f>
        <v>0</v>
      </c>
      <c r="E34" s="4" cm="1">
        <f t="array" ref="E34">RΩ汇总!E33-INDEX(RΩ汇总!E:E,MATCH(MIN(IF(RΩ汇总!F:F&gt;0,RΩ汇总!F:F)),RΩ汇总!F:F,0))</f>
        <v>2.8189520289827907E-2</v>
      </c>
      <c r="F34" s="4">
        <v>2.2586955542799731E-2</v>
      </c>
      <c r="G34" s="4" t="e" cm="1">
        <f t="array" ref="G34">RΩ汇总!G33-INDEX(RΩ汇总!G:G,MATCH(MIN(IF(RΩ汇总!G:G&gt;0,RΩ汇总!G:G)),RΩ汇总!G:G,0))</f>
        <v>#N/A</v>
      </c>
      <c r="H34" s="4">
        <f>RΩ汇总!H33</f>
        <v>0</v>
      </c>
      <c r="I34" s="2" cm="1">
        <f t="array" ref="I34">RΩ汇总!I33-INDEX(RΩ汇总!I:I,MATCH(MIN(IF(RΩ汇总!J:J&gt;0,RΩ汇总!J:J)),RΩ汇总!J:J,0))</f>
        <v>3.4902668968337214E-2</v>
      </c>
      <c r="J34" s="2">
        <v>2.6193098361533603E-2</v>
      </c>
      <c r="K34" s="2" t="e" cm="1">
        <f t="array" ref="K34">RΩ汇总!K33-INDEX(RΩ汇总!K:K,MATCH(MIN(IF(RΩ汇总!K:K&gt;0,RΩ汇总!K:K)),RΩ汇总!K:K,0))</f>
        <v>#N/A</v>
      </c>
      <c r="L34" s="2">
        <f>RΩ汇总!L33</f>
        <v>0</v>
      </c>
      <c r="M34" s="1" cm="1">
        <f t="array" ref="M34">RΩ汇总!M33-INDEX(RΩ汇总!M:M,MATCH(MIN(IF(RΩ汇总!N:N&gt;0,RΩ汇总!N:N)),RΩ汇总!N:N,0))</f>
        <v>5.2597088742048492E-2</v>
      </c>
      <c r="N34" s="1">
        <v>4.5553641585261352E-2</v>
      </c>
      <c r="O34" s="1" t="e" cm="1">
        <f t="array" ref="O34">RΩ汇总!O33-INDEX(RΩ汇总!O:O,MATCH(MIN(IF(RΩ汇总!O:O&gt;0,RΩ汇总!O:O)),RΩ汇总!O:O,0))</f>
        <v>#N/A</v>
      </c>
      <c r="P34" s="1">
        <f>RΩ汇总!P33</f>
        <v>0</v>
      </c>
    </row>
    <row r="35" spans="1:16" x14ac:dyDescent="0.2">
      <c r="A35" s="3" cm="1">
        <f t="array" ref="A35">RΩ汇总!A34-INDEX(RΩ汇总!A:A,MATCH(MIN(IF(RΩ汇总!B:B&gt;0,RΩ汇总!B:B)),RΩ汇总!B:B,0))</f>
        <v>1.823168539945072E-2</v>
      </c>
      <c r="B35" s="3">
        <v>1.2280582748947479E-2</v>
      </c>
      <c r="C35" s="3" t="e" cm="1">
        <f t="array" ref="C35">RΩ汇总!C34-INDEX(RΩ汇总!C:C,MATCH(MIN(IF(RΩ汇总!D:D&gt;0,RΩ汇总!D:D)),RΩ汇总!D:D,0))</f>
        <v>#N/A</v>
      </c>
      <c r="D35" s="3">
        <f>RΩ汇总!D34</f>
        <v>0</v>
      </c>
      <c r="E35" s="4" cm="1">
        <f t="array" ref="E35">RΩ汇总!E34-INDEX(RΩ汇总!E:E,MATCH(MIN(IF(RΩ汇总!F:F&gt;0,RΩ汇总!F:F)),RΩ汇总!F:F,0))</f>
        <v>3.1227800879564782E-2</v>
      </c>
      <c r="F35" s="4">
        <v>2.3810856472445366E-2</v>
      </c>
      <c r="G35" s="4" t="e" cm="1">
        <f t="array" ref="G35">RΩ汇总!G34-INDEX(RΩ汇总!G:G,MATCH(MIN(IF(RΩ汇总!G:G&gt;0,RΩ汇总!G:G)),RΩ汇总!G:G,0))</f>
        <v>#N/A</v>
      </c>
      <c r="H35" s="4">
        <f>RΩ汇总!H34</f>
        <v>0</v>
      </c>
      <c r="I35" s="2" cm="1">
        <f t="array" ref="I35">RΩ汇总!I34-INDEX(RΩ汇总!I:I,MATCH(MIN(IF(RΩ汇总!J:J&gt;0,RΩ汇总!J:J)),RΩ汇总!J:J,0))</f>
        <v>3.8862132570773672E-2</v>
      </c>
      <c r="J35" s="2">
        <v>2.7263172785984575E-2</v>
      </c>
      <c r="K35" s="2" t="e" cm="1">
        <f t="array" ref="K35">RΩ汇总!K34-INDEX(RΩ汇总!K:K,MATCH(MIN(IF(RΩ汇总!K:K&gt;0,RΩ汇总!K:K)),RΩ汇总!K:K,0))</f>
        <v>#N/A</v>
      </c>
      <c r="L35" s="2">
        <f>RΩ汇总!L34</f>
        <v>0</v>
      </c>
      <c r="M35" s="1" cm="1">
        <f t="array" ref="M35">RΩ汇总!M34-INDEX(RΩ汇总!M:M,MATCH(MIN(IF(RΩ汇总!N:N&gt;0,RΩ汇总!N:N)),RΩ汇总!N:N,0))</f>
        <v>5.9632689447233544E-2</v>
      </c>
      <c r="N35" s="1">
        <v>4.7705627106937411E-2</v>
      </c>
      <c r="O35" s="1" t="e" cm="1">
        <f t="array" ref="O35">RΩ汇总!O34-INDEX(RΩ汇总!O:O,MATCH(MIN(IF(RΩ汇总!O:O&gt;0,RΩ汇总!O:O)),RΩ汇总!O:O,0))</f>
        <v>#N/A</v>
      </c>
      <c r="P35" s="1">
        <f>RΩ汇总!P34</f>
        <v>0</v>
      </c>
    </row>
    <row r="36" spans="1:16" x14ac:dyDescent="0.2">
      <c r="A36" s="3" cm="1">
        <f t="array" ref="A36">RΩ汇总!A35-INDEX(RΩ汇总!A:A,MATCH(MIN(IF(RΩ汇总!B:B&gt;0,RΩ汇总!B:B)),RΩ汇总!B:B,0))</f>
        <v>2.0185331657873173E-2</v>
      </c>
      <c r="B36" s="3">
        <v>1.3276520382983331E-2</v>
      </c>
      <c r="C36" s="3" t="e" cm="1">
        <f t="array" ref="C36">RΩ汇总!C35-INDEX(RΩ汇总!C:C,MATCH(MIN(IF(RΩ汇总!D:D&gt;0,RΩ汇总!D:D)),RΩ汇总!D:D,0))</f>
        <v>#N/A</v>
      </c>
      <c r="D36" s="3">
        <f>RΩ汇总!D35</f>
        <v>0</v>
      </c>
      <c r="E36" s="4" cm="1">
        <f t="array" ref="E36">RΩ汇总!E35-INDEX(RΩ汇总!E:E,MATCH(MIN(IF(RΩ汇总!F:F&gt;0,RΩ汇总!F:F)),RΩ汇总!F:F,0))</f>
        <v>3.5468498393713216E-2</v>
      </c>
      <c r="F36" s="4">
        <v>2.5152967359995886E-2</v>
      </c>
      <c r="G36" s="4" t="e" cm="1">
        <f t="array" ref="G36">RΩ汇总!G35-INDEX(RΩ汇总!G:G,MATCH(MIN(IF(RΩ汇总!G:G&gt;0,RΩ汇总!G:G)),RΩ汇总!G:G,0))</f>
        <v>#N/A</v>
      </c>
      <c r="H36" s="4">
        <f>RΩ汇总!H35</f>
        <v>0</v>
      </c>
      <c r="I36" s="2" cm="1">
        <f t="array" ref="I36">RΩ汇总!I35-INDEX(RΩ汇总!I:I,MATCH(MIN(IF(RΩ汇总!J:J&gt;0,RΩ汇总!J:J)),RΩ汇总!J:J,0))</f>
        <v>4.4157111164359442E-2</v>
      </c>
      <c r="J36" s="2">
        <v>2.8734613815444489E-2</v>
      </c>
      <c r="K36" s="2" t="e" cm="1">
        <f t="array" ref="K36">RΩ汇总!K35-INDEX(RΩ汇总!K:K,MATCH(MIN(IF(RΩ汇总!K:K&gt;0,RΩ汇总!K:K)),RΩ汇总!K:K,0))</f>
        <v>#N/A</v>
      </c>
      <c r="L36" s="2">
        <f>RΩ汇总!L35</f>
        <v>0</v>
      </c>
      <c r="M36" s="1" cm="1">
        <f t="array" ref="M36">RΩ汇总!M35-INDEX(RΩ汇总!M:M,MATCH(MIN(IF(RΩ汇总!N:N&gt;0,RΩ汇总!N:N)),RΩ汇总!N:N,0))</f>
        <v>6.7722540133653197E-2</v>
      </c>
      <c r="N36" s="1">
        <v>4.9781543667898762E-2</v>
      </c>
      <c r="O36" s="1" t="e" cm="1">
        <f t="array" ref="O36">RΩ汇总!O35-INDEX(RΩ汇总!O:O,MATCH(MIN(IF(RΩ汇总!O:O&gt;0,RΩ汇总!O:O)),RΩ汇总!O:O,0))</f>
        <v>#N/A</v>
      </c>
      <c r="P36" s="1">
        <f>RΩ汇总!P35</f>
        <v>0</v>
      </c>
    </row>
    <row r="37" spans="1:16" x14ac:dyDescent="0.2">
      <c r="A37" s="3" cm="1">
        <f t="array" ref="A37">RΩ汇总!A36-INDEX(RΩ汇总!A:A,MATCH(MIN(IF(RΩ汇总!B:B&gt;0,RΩ汇总!B:B)),RΩ汇总!B:B,0))</f>
        <v>2.2581107482718465E-2</v>
      </c>
      <c r="B37" s="3">
        <v>1.4071218765603721E-2</v>
      </c>
      <c r="C37" s="3" t="e" cm="1">
        <f t="array" ref="C37">RΩ汇总!C36-INDEX(RΩ汇总!C:C,MATCH(MIN(IF(RΩ汇总!D:D&gt;0,RΩ汇总!D:D)),RΩ汇总!D:D,0))</f>
        <v>#N/A</v>
      </c>
      <c r="D37" s="3">
        <f>RΩ汇总!D36</f>
        <v>0</v>
      </c>
      <c r="E37" s="4" cm="1">
        <f t="array" ref="E37">RΩ汇总!E36-INDEX(RΩ汇总!E:E,MATCH(MIN(IF(RΩ汇总!F:F&gt;0,RΩ汇总!F:F)),RΩ汇总!F:F,0))</f>
        <v>4.036470968757469E-2</v>
      </c>
      <c r="F37" s="4">
        <v>2.5970118845369497E-2</v>
      </c>
      <c r="G37" s="4" t="e" cm="1">
        <f t="array" ref="G37">RΩ汇总!G36-INDEX(RΩ汇总!G:G,MATCH(MIN(IF(RΩ汇总!G:G&gt;0,RΩ汇总!G:G)),RΩ汇总!G:G,0))</f>
        <v>#N/A</v>
      </c>
      <c r="H37" s="4">
        <f>RΩ汇总!H36</f>
        <v>0</v>
      </c>
      <c r="I37" s="2" cm="1">
        <f t="array" ref="I37">RΩ汇总!I36-INDEX(RΩ汇总!I:I,MATCH(MIN(IF(RΩ汇总!J:J&gt;0,RΩ汇总!J:J)),RΩ汇总!J:J,0))</f>
        <v>4.7662770354825912E-2</v>
      </c>
      <c r="J37" s="2">
        <v>2.8987734263118764E-2</v>
      </c>
      <c r="K37" s="2" t="e" cm="1">
        <f t="array" ref="K37">RΩ汇总!K36-INDEX(RΩ汇总!K:K,MATCH(MIN(IF(RΩ汇总!K:K&gt;0,RΩ汇总!K:K)),RΩ汇总!K:K,0))</f>
        <v>#N/A</v>
      </c>
      <c r="L37" s="2">
        <f>RΩ汇总!L36</f>
        <v>0</v>
      </c>
      <c r="M37" s="1" cm="1">
        <f t="array" ref="M37">RΩ汇总!M36-INDEX(RΩ汇总!M:M,MATCH(MIN(IF(RΩ汇总!N:N&gt;0,RΩ汇总!N:N)),RΩ汇总!N:N,0))</f>
        <v>7.6883436174442266E-2</v>
      </c>
      <c r="N37" s="1">
        <v>5.2225961855473055E-2</v>
      </c>
      <c r="O37" s="1" t="e" cm="1">
        <f t="array" ref="O37">RΩ汇总!O36-INDEX(RΩ汇总!O:O,MATCH(MIN(IF(RΩ汇总!O:O&gt;0,RΩ汇总!O:O)),RΩ汇总!O:O,0))</f>
        <v>#N/A</v>
      </c>
      <c r="P37" s="1">
        <f>RΩ汇总!P36</f>
        <v>0</v>
      </c>
    </row>
    <row r="38" spans="1:16" x14ac:dyDescent="0.2">
      <c r="A38" s="3" cm="1">
        <f t="array" ref="A38">RΩ汇总!A37-INDEX(RΩ汇总!A:A,MATCH(MIN(IF(RΩ汇总!B:B&gt;0,RΩ汇总!B:B)),RΩ汇总!B:B,0))</f>
        <v>2.6476617315180001E-2</v>
      </c>
      <c r="B38" s="3">
        <v>1.4694342782414159E-2</v>
      </c>
      <c r="C38" s="3" t="e" cm="1">
        <f t="array" ref="C38">RΩ汇总!C37-INDEX(RΩ汇总!C:C,MATCH(MIN(IF(RΩ汇总!D:D&gt;0,RΩ汇总!D:D)),RΩ汇总!D:D,0))</f>
        <v>#N/A</v>
      </c>
      <c r="D38" s="3">
        <f>RΩ汇总!D37</f>
        <v>0</v>
      </c>
      <c r="E38" s="4" cm="1">
        <f t="array" ref="E38">RΩ汇总!E37-INDEX(RΩ汇总!E:E,MATCH(MIN(IF(RΩ汇总!F:F&gt;0,RΩ汇总!F:F)),RΩ汇总!F:F,0))</f>
        <v>4.3662203204069772E-2</v>
      </c>
      <c r="F38" s="4">
        <v>2.7785712385072405E-2</v>
      </c>
      <c r="G38" s="4" t="e" cm="1">
        <f t="array" ref="G38">RΩ汇总!G37-INDEX(RΩ汇总!G:G,MATCH(MIN(IF(RΩ汇总!G:G&gt;0,RΩ汇总!G:G)),RΩ汇总!G:G,0))</f>
        <v>#N/A</v>
      </c>
      <c r="H38" s="4">
        <f>RΩ汇总!H37</f>
        <v>0</v>
      </c>
      <c r="I38" s="2" cm="1">
        <f t="array" ref="I38">RΩ汇总!I37-INDEX(RΩ汇总!I:I,MATCH(MIN(IF(RΩ汇总!J:J&gt;0,RΩ汇总!J:J)),RΩ汇总!J:J,0))</f>
        <v>5.1790833480507503E-2</v>
      </c>
      <c r="J38" s="2">
        <v>2.8923981069241891E-2</v>
      </c>
      <c r="K38" s="2" t="e" cm="1">
        <f t="array" ref="K38">RΩ汇总!K37-INDEX(RΩ汇总!K:K,MATCH(MIN(IF(RΩ汇总!K:K&gt;0,RΩ汇总!K:K)),RΩ汇总!K:K,0))</f>
        <v>#N/A</v>
      </c>
      <c r="L38" s="2">
        <f>RΩ汇总!L37</f>
        <v>0</v>
      </c>
      <c r="M38" s="1" cm="1">
        <f t="array" ref="M38">RΩ汇总!M37-INDEX(RΩ汇总!M:M,MATCH(MIN(IF(RΩ汇总!N:N&gt;0,RΩ汇总!N:N)),RΩ汇总!N:N,0))</f>
        <v>8.4555944247212744E-2</v>
      </c>
      <c r="N38" s="1">
        <v>5.3078367927895713E-2</v>
      </c>
      <c r="O38" s="1" t="e" cm="1">
        <f t="array" ref="O38">RΩ汇总!O37-INDEX(RΩ汇总!O:O,MATCH(MIN(IF(RΩ汇总!O:O&gt;0,RΩ汇总!O:O)),RΩ汇总!O:O,0))</f>
        <v>#N/A</v>
      </c>
      <c r="P38" s="1">
        <f>RΩ汇总!P37</f>
        <v>0</v>
      </c>
    </row>
    <row r="39" spans="1:16" x14ac:dyDescent="0.2">
      <c r="A39" s="3" cm="1">
        <f t="array" ref="A39">RΩ汇总!A38-INDEX(RΩ汇总!A:A,MATCH(MIN(IF(RΩ汇总!B:B&gt;0,RΩ汇总!B:B)),RΩ汇总!B:B,0))</f>
        <v>2.6312527487004966E-2</v>
      </c>
      <c r="B39" s="3">
        <v>1.5556835350567592E-2</v>
      </c>
      <c r="C39" s="3" t="e" cm="1">
        <f t="array" ref="C39">RΩ汇总!C38-INDEX(RΩ汇总!C:C,MATCH(MIN(IF(RΩ汇总!D:D&gt;0,RΩ汇总!D:D)),RΩ汇总!D:D,0))</f>
        <v>#N/A</v>
      </c>
      <c r="D39" s="3">
        <f>RΩ汇总!D38</f>
        <v>0</v>
      </c>
      <c r="E39" s="4" cm="1">
        <f t="array" ref="E39">RΩ汇总!E38-INDEX(RΩ汇总!E:E,MATCH(MIN(IF(RΩ汇总!F:F&gt;0,RΩ汇总!F:F)),RΩ汇总!F:F,0))</f>
        <v>4.6813003201982062E-2</v>
      </c>
      <c r="F39" s="4">
        <v>2.8223268787626307E-2</v>
      </c>
      <c r="G39" s="4" t="e" cm="1">
        <f t="array" ref="G39">RΩ汇总!G38-INDEX(RΩ汇总!G:G,MATCH(MIN(IF(RΩ汇总!G:G&gt;0,RΩ汇总!G:G)),RΩ汇总!G:G,0))</f>
        <v>#N/A</v>
      </c>
      <c r="H39" s="4">
        <f>RΩ汇总!H38</f>
        <v>0</v>
      </c>
      <c r="I39" s="2" cm="1">
        <f t="array" ref="I39">RΩ汇总!I38-INDEX(RΩ汇总!I:I,MATCH(MIN(IF(RΩ汇总!J:J&gt;0,RΩ汇总!J:J)),RΩ汇总!J:J,0))</f>
        <v>5.7303949018133127E-2</v>
      </c>
      <c r="J39" s="2">
        <v>2.9036003722845143E-2</v>
      </c>
      <c r="K39" s="2" t="e" cm="1">
        <f t="array" ref="K39">RΩ汇总!K38-INDEX(RΩ汇总!K:K,MATCH(MIN(IF(RΩ汇总!K:K&gt;0,RΩ汇总!K:K)),RΩ汇总!K:K,0))</f>
        <v>#N/A</v>
      </c>
      <c r="L39" s="2">
        <f>RΩ汇总!L38</f>
        <v>0</v>
      </c>
      <c r="M39" s="1" cm="1">
        <f t="array" ref="M39">RΩ汇总!M38-INDEX(RΩ汇总!M:M,MATCH(MIN(IF(RΩ汇总!N:N&gt;0,RΩ汇总!N:N)),RΩ汇总!N:N,0))</f>
        <v>9.290242999860876E-2</v>
      </c>
      <c r="N39" s="1">
        <v>5.4791797023006565E-2</v>
      </c>
      <c r="O39" s="1" t="e" cm="1">
        <f t="array" ref="O39">RΩ汇总!O38-INDEX(RΩ汇总!O:O,MATCH(MIN(IF(RΩ汇总!O:O&gt;0,RΩ汇总!O:O)),RΩ汇总!O:O,0))</f>
        <v>#N/A</v>
      </c>
      <c r="P39" s="1">
        <f>RΩ汇总!P38</f>
        <v>0</v>
      </c>
    </row>
    <row r="40" spans="1:16" x14ac:dyDescent="0.2">
      <c r="A40" s="3" cm="1">
        <f t="array" ref="A40">RΩ汇总!A39-INDEX(RΩ汇总!A:A,MATCH(MIN(IF(RΩ汇总!B:B&gt;0,RΩ汇总!B:B)),RΩ汇总!B:B,0))</f>
        <v>2.731955145785675E-2</v>
      </c>
      <c r="B40" s="3">
        <v>1.3045699645441524E-2</v>
      </c>
      <c r="C40" s="3" t="e" cm="1">
        <f t="array" ref="C40">RΩ汇总!C39-INDEX(RΩ汇总!C:C,MATCH(MIN(IF(RΩ汇总!D:D&gt;0,RΩ汇总!D:D)),RΩ汇总!D:D,0))</f>
        <v>#N/A</v>
      </c>
      <c r="D40" s="3">
        <f>RΩ汇总!D39</f>
        <v>0</v>
      </c>
      <c r="E40" s="4" cm="1">
        <f t="array" ref="E40">RΩ汇总!E39-INDEX(RΩ汇总!E:E,MATCH(MIN(IF(RΩ汇总!F:F&gt;0,RΩ汇总!F:F)),RΩ汇总!F:F,0))</f>
        <v>5.2972426974220027E-2</v>
      </c>
      <c r="F40" s="4">
        <v>2.6894013586845886E-2</v>
      </c>
      <c r="G40" s="4" t="e" cm="1">
        <f t="array" ref="G40">RΩ汇总!G39-INDEX(RΩ汇总!G:G,MATCH(MIN(IF(RΩ汇总!G:G&gt;0,RΩ汇总!G:G)),RΩ汇总!G:G,0))</f>
        <v>#N/A</v>
      </c>
      <c r="H40" s="4">
        <f>RΩ汇总!H39</f>
        <v>0</v>
      </c>
      <c r="I40" s="2" cm="1">
        <f t="array" ref="I40">RΩ汇总!I39-INDEX(RΩ汇总!I:I,MATCH(MIN(IF(RΩ汇总!J:J&gt;0,RΩ汇总!J:J)),RΩ汇总!J:J,0))</f>
        <v>6.1195289643638906E-2</v>
      </c>
      <c r="J40" s="2">
        <v>3.2928114961706723E-2</v>
      </c>
      <c r="K40" s="2" t="e" cm="1">
        <f t="array" ref="K40">RΩ汇总!K39-INDEX(RΩ汇总!K:K,MATCH(MIN(IF(RΩ汇总!K:K&gt;0,RΩ汇总!K:K)),RΩ汇总!K:K,0))</f>
        <v>#N/A</v>
      </c>
      <c r="L40" s="2">
        <f>RΩ汇总!L39</f>
        <v>0</v>
      </c>
      <c r="M40" s="1" cm="1">
        <f t="array" ref="M40">RΩ汇总!M39-INDEX(RΩ汇总!M:M,MATCH(MIN(IF(RΩ汇总!N:N&gt;0,RΩ汇总!N:N)),RΩ汇总!N:N,0))</f>
        <v>0.10046138794605958</v>
      </c>
      <c r="N40" s="1">
        <v>5.5545398459367352E-2</v>
      </c>
      <c r="O40" s="1" t="e" cm="1">
        <f t="array" ref="O40">RΩ汇总!O39-INDEX(RΩ汇总!O:O,MATCH(MIN(IF(RΩ汇总!O:O&gt;0,RΩ汇总!O:O)),RΩ汇总!O:O,0))</f>
        <v>#N/A</v>
      </c>
      <c r="P40" s="1">
        <f>RΩ汇总!P39</f>
        <v>0</v>
      </c>
    </row>
    <row r="41" spans="1:16" x14ac:dyDescent="0.2">
      <c r="A41" s="3" cm="1">
        <f t="array" ref="A41">RΩ汇总!A40-INDEX(RΩ汇总!A:A,MATCH(MIN(IF(RΩ汇总!B:B&gt;0,RΩ汇总!B:B)),RΩ汇总!B:B,0))</f>
        <v>2.9322131243047944E-2</v>
      </c>
      <c r="B41" s="3">
        <v>1.4969608201415156E-2</v>
      </c>
      <c r="C41" s="3" t="e" cm="1">
        <f t="array" ref="C41">RΩ汇总!C40-INDEX(RΩ汇总!C:C,MATCH(MIN(IF(RΩ汇总!D:D&gt;0,RΩ汇总!D:D)),RΩ汇总!D:D,0))</f>
        <v>#N/A</v>
      </c>
      <c r="D41" s="3">
        <f>RΩ汇总!D40</f>
        <v>0</v>
      </c>
      <c r="E41" s="4" cm="1">
        <f t="array" ref="E41">RΩ汇总!E40-INDEX(RΩ汇总!E:E,MATCH(MIN(IF(RΩ汇总!F:F&gt;0,RΩ汇总!F:F)),RΩ汇总!F:F,0))</f>
        <v>5.5532296647501755E-2</v>
      </c>
      <c r="F41" s="4">
        <v>2.9430572669776153E-2</v>
      </c>
      <c r="G41" s="4" t="e" cm="1">
        <f t="array" ref="G41">RΩ汇总!G40-INDEX(RΩ汇总!G:G,MATCH(MIN(IF(RΩ汇总!G:G&gt;0,RΩ汇总!G:G)),RΩ汇总!G:G,0))</f>
        <v>#N/A</v>
      </c>
      <c r="H41" s="4">
        <f>RΩ汇总!H40</f>
        <v>0</v>
      </c>
      <c r="I41" s="2" cm="1">
        <f t="array" ref="I41">RΩ汇总!I40-INDEX(RΩ汇总!I:I,MATCH(MIN(IF(RΩ汇总!J:J&gt;0,RΩ汇总!J:J)),RΩ汇总!J:J,0))</f>
        <v>6.7418536399638185E-2</v>
      </c>
      <c r="J41" s="2">
        <v>3.3083371195031866E-2</v>
      </c>
      <c r="K41" s="2" t="e" cm="1">
        <f t="array" ref="K41">RΩ汇总!K40-INDEX(RΩ汇总!K:K,MATCH(MIN(IF(RΩ汇总!K:K&gt;0,RΩ汇总!K:K)),RΩ汇总!K:K,0))</f>
        <v>#N/A</v>
      </c>
      <c r="L41" s="2">
        <f>RΩ汇总!L40</f>
        <v>0</v>
      </c>
      <c r="M41" s="1" cm="1">
        <f t="array" ref="M41">RΩ汇总!M40-INDEX(RΩ汇总!M:M,MATCH(MIN(IF(RΩ汇总!N:N&gt;0,RΩ汇总!N:N)),RΩ汇总!N:N,0))</f>
        <v>0.11023440333685586</v>
      </c>
      <c r="N41" s="1">
        <v>5.5039032812598747E-2</v>
      </c>
      <c r="O41" s="1" t="e" cm="1">
        <f t="array" ref="O41">RΩ汇总!O40-INDEX(RΩ汇总!O:O,MATCH(MIN(IF(RΩ汇总!O:O&gt;0,RΩ汇总!O:O)),RΩ汇总!O:O,0))</f>
        <v>#N/A</v>
      </c>
      <c r="P41" s="1">
        <f>RΩ汇总!P40</f>
        <v>0</v>
      </c>
    </row>
    <row r="42" spans="1:16" x14ac:dyDescent="0.2">
      <c r="A42" s="3" cm="1">
        <f t="array" ref="A42">RΩ汇总!A41-INDEX(RΩ汇总!A:A,MATCH(MIN(IF(RΩ汇总!B:B&gt;0,RΩ汇总!B:B)),RΩ汇总!B:B,0))</f>
        <v>3.1283926861245231E-2</v>
      </c>
      <c r="B42" s="3">
        <v>1.345833315046689E-2</v>
      </c>
      <c r="C42" s="3" t="e" cm="1">
        <f t="array" ref="C42">RΩ汇总!C41-INDEX(RΩ汇总!C:C,MATCH(MIN(IF(RΩ汇总!D:D&gt;0,RΩ汇总!D:D)),RΩ汇总!D:D,0))</f>
        <v>#N/A</v>
      </c>
      <c r="D42" s="3">
        <f>RΩ汇总!D41</f>
        <v>0</v>
      </c>
      <c r="E42" s="4" cm="1">
        <f t="array" ref="E42">RΩ汇总!E41-INDEX(RΩ汇总!E:E,MATCH(MIN(IF(RΩ汇总!F:F&gt;0,RΩ汇总!F:F)),RΩ汇总!F:F,0))</f>
        <v>6.0446503330558482E-2</v>
      </c>
      <c r="F42" s="4">
        <v>2.867959160867643E-2</v>
      </c>
      <c r="G42" s="4" t="e" cm="1">
        <f t="array" ref="G42">RΩ汇总!G41-INDEX(RΩ汇总!G:G,MATCH(MIN(IF(RΩ汇总!G:G&gt;0,RΩ汇总!G:G)),RΩ汇总!G:G,0))</f>
        <v>#N/A</v>
      </c>
      <c r="H42" s="4">
        <f>RΩ汇总!H41</f>
        <v>0</v>
      </c>
      <c r="I42" s="2" cm="1">
        <f t="array" ref="I42">RΩ汇总!I41-INDEX(RΩ汇总!I:I,MATCH(MIN(IF(RΩ汇总!J:J&gt;0,RΩ汇总!J:J)),RΩ汇总!J:J,0))</f>
        <v>7.0530788131738742E-2</v>
      </c>
      <c r="J42" s="2">
        <v>3.336820295284703E-2</v>
      </c>
      <c r="K42" s="2" t="e" cm="1">
        <f t="array" ref="K42">RΩ汇总!K41-INDEX(RΩ汇总!K:K,MATCH(MIN(IF(RΩ汇总!K:K&gt;0,RΩ汇总!K:K)),RΩ汇总!K:K,0))</f>
        <v>#N/A</v>
      </c>
      <c r="L42" s="2">
        <f>RΩ汇总!L41</f>
        <v>0</v>
      </c>
      <c r="M42" s="1" cm="1">
        <f t="array" ref="M42">RΩ汇总!M41-INDEX(RΩ汇总!M:M,MATCH(MIN(IF(RΩ汇总!N:N&gt;0,RΩ汇总!N:N)),RΩ汇总!N:N,0))</f>
        <v>0.11874993037906628</v>
      </c>
      <c r="N42" s="1">
        <v>5.6375793665223516E-2</v>
      </c>
      <c r="O42" s="1" t="e" cm="1">
        <f t="array" ref="O42">RΩ汇总!O41-INDEX(RΩ汇总!O:O,MATCH(MIN(IF(RΩ汇总!O:O&gt;0,RΩ汇总!O:O)),RΩ汇总!O:O,0))</f>
        <v>#N/A</v>
      </c>
      <c r="P42" s="1">
        <f>RΩ汇总!P41</f>
        <v>0</v>
      </c>
    </row>
    <row r="43" spans="1:16" x14ac:dyDescent="0.2">
      <c r="A43" s="3" cm="1">
        <f t="array" ref="A43">RΩ汇总!A42-INDEX(RΩ汇总!A:A,MATCH(MIN(IF(RΩ汇总!B:B&gt;0,RΩ汇总!B:B)),RΩ汇总!B:B,0))</f>
        <v>3.5627795943182328E-2</v>
      </c>
      <c r="B43" s="3">
        <v>1.5362811063407372E-2</v>
      </c>
      <c r="C43" s="3" t="e" cm="1">
        <f t="array" ref="C43">RΩ汇总!C42-INDEX(RΩ汇总!C:C,MATCH(MIN(IF(RΩ汇总!D:D&gt;0,RΩ汇总!D:D)),RΩ汇总!D:D,0))</f>
        <v>#N/A</v>
      </c>
      <c r="D43" s="3">
        <f>RΩ汇总!D42</f>
        <v>0</v>
      </c>
      <c r="E43" s="4" cm="1">
        <f t="array" ref="E43">RΩ汇总!E42-INDEX(RΩ汇总!E:E,MATCH(MIN(IF(RΩ汇总!F:F&gt;0,RΩ汇总!F:F)),RΩ汇总!F:F,0))</f>
        <v>6.6458328325399302E-2</v>
      </c>
      <c r="F43" s="4">
        <v>2.9722997423099317E-2</v>
      </c>
      <c r="G43" s="4" t="e" cm="1">
        <f t="array" ref="G43">RΩ汇总!G42-INDEX(RΩ汇总!G:G,MATCH(MIN(IF(RΩ汇总!G:G&gt;0,RΩ汇总!G:G)),RΩ汇总!G:G,0))</f>
        <v>#N/A</v>
      </c>
      <c r="H43" s="4">
        <f>RΩ汇总!H42</f>
        <v>0</v>
      </c>
      <c r="I43" s="2" cm="1">
        <f t="array" ref="I43">RΩ汇总!I42-INDEX(RΩ汇总!I:I,MATCH(MIN(IF(RΩ汇总!J:J&gt;0,RΩ汇总!J:J)),RΩ汇总!J:J,0))</f>
        <v>7.7127599519975165E-2</v>
      </c>
      <c r="J43" s="2">
        <v>3.1967886701550742E-2</v>
      </c>
      <c r="K43" s="2" t="e" cm="1">
        <f t="array" ref="K43">RΩ汇总!K42-INDEX(RΩ汇总!K:K,MATCH(MIN(IF(RΩ汇总!K:K&gt;0,RΩ汇总!K:K)),RΩ汇总!K:K,0))</f>
        <v>#N/A</v>
      </c>
      <c r="L43" s="2">
        <f>RΩ汇总!L42</f>
        <v>0</v>
      </c>
      <c r="M43" s="1" cm="1">
        <f t="array" ref="M43">RΩ汇总!M42-INDEX(RΩ汇总!M:M,MATCH(MIN(IF(RΩ汇总!N:N&gt;0,RΩ汇总!N:N)),RΩ汇总!N:N,0))</f>
        <v>0.12612753779176067</v>
      </c>
      <c r="N43" s="1">
        <v>5.7154653765082351E-2</v>
      </c>
      <c r="O43" s="1" t="e" cm="1">
        <f t="array" ref="O43">RΩ汇总!O42-INDEX(RΩ汇总!O:O,MATCH(MIN(IF(RΩ汇总!O:O&gt;0,RΩ汇总!O:O)),RΩ汇总!O:O,0))</f>
        <v>#N/A</v>
      </c>
      <c r="P43" s="1">
        <f>RΩ汇总!P42</f>
        <v>0</v>
      </c>
    </row>
    <row r="44" spans="1:16" x14ac:dyDescent="0.2">
      <c r="A44" s="3" cm="1">
        <f t="array" ref="A44">RΩ汇总!A43-INDEX(RΩ汇总!A:A,MATCH(MIN(IF(RΩ汇总!B:B&gt;0,RΩ汇总!B:B)),RΩ汇总!B:B,0))</f>
        <v>3.7170970345383775E-2</v>
      </c>
      <c r="B44" s="3">
        <v>1.5105811521158769E-2</v>
      </c>
      <c r="C44" s="3" t="e" cm="1">
        <f t="array" ref="C44">RΩ汇总!C43-INDEX(RΩ汇总!C:C,MATCH(MIN(IF(RΩ汇总!D:D&gt;0,RΩ汇总!D:D)),RΩ汇总!D:D,0))</f>
        <v>#N/A</v>
      </c>
      <c r="D44" s="3">
        <f>RΩ汇总!D43</f>
        <v>0</v>
      </c>
      <c r="E44" s="4" cm="1">
        <f t="array" ref="E44">RΩ汇总!E43-INDEX(RΩ汇总!E:E,MATCH(MIN(IF(RΩ汇总!F:F&gt;0,RΩ汇总!F:F)),RΩ汇总!F:F,0))</f>
        <v>7.1061991646638983E-2</v>
      </c>
      <c r="F44" s="4">
        <v>2.9861837888271257E-2</v>
      </c>
      <c r="G44" s="4" t="e" cm="1">
        <f t="array" ref="G44">RΩ汇总!G43-INDEX(RΩ汇总!G:G,MATCH(MIN(IF(RΩ汇总!G:G&gt;0,RΩ汇总!G:G)),RΩ汇总!G:G,0))</f>
        <v>#N/A</v>
      </c>
      <c r="H44" s="4">
        <f>RΩ汇总!H43</f>
        <v>0</v>
      </c>
      <c r="I44" s="2" cm="1">
        <f t="array" ref="I44">RΩ汇总!I43-INDEX(RΩ汇总!I:I,MATCH(MIN(IF(RΩ汇总!J:J&gt;0,RΩ汇总!J:J)),RΩ汇总!J:J,0))</f>
        <v>8.196149690868465E-2</v>
      </c>
      <c r="J44" s="2">
        <v>3.2948441619126065E-2</v>
      </c>
      <c r="K44" s="2" t="e" cm="1">
        <f t="array" ref="K44">RΩ汇总!K43-INDEX(RΩ汇总!K:K,MATCH(MIN(IF(RΩ汇总!K:K&gt;0,RΩ汇总!K:K)),RΩ汇总!K:K,0))</f>
        <v>#N/A</v>
      </c>
      <c r="L44" s="2">
        <f>RΩ汇总!L43</f>
        <v>0</v>
      </c>
      <c r="M44" s="1" cm="1">
        <f t="array" ref="M44">RΩ汇总!M43-INDEX(RΩ汇总!M:M,MATCH(MIN(IF(RΩ汇总!N:N&gt;0,RΩ汇总!N:N)),RΩ汇总!N:N,0))</f>
        <v>0.13535570017994192</v>
      </c>
      <c r="N44" s="1">
        <v>5.6941710874480349E-2</v>
      </c>
      <c r="O44" s="1" t="e" cm="1">
        <f t="array" ref="O44">RΩ汇总!O43-INDEX(RΩ汇总!O:O,MATCH(MIN(IF(RΩ汇总!O:O&gt;0,RΩ汇总!O:O)),RΩ汇总!O:O,0))</f>
        <v>#N/A</v>
      </c>
      <c r="P44" s="1">
        <f>RΩ汇总!P43</f>
        <v>0</v>
      </c>
    </row>
    <row r="45" spans="1:16" x14ac:dyDescent="0.2">
      <c r="A45" s="3" cm="1">
        <f t="array" ref="A45">RΩ汇总!A44-INDEX(RΩ汇总!A:A,MATCH(MIN(IF(RΩ汇总!B:B&gt;0,RΩ汇总!B:B)),RΩ汇总!B:B,0))</f>
        <v>3.9433160769491965E-2</v>
      </c>
      <c r="B45" s="3">
        <v>1.5123030010408286E-2</v>
      </c>
      <c r="C45" s="3" t="e" cm="1">
        <f t="array" ref="C45">RΩ汇总!C44-INDEX(RΩ汇总!C:C,MATCH(MIN(IF(RΩ汇总!D:D&gt;0,RΩ汇总!D:D)),RΩ汇总!D:D,0))</f>
        <v>#N/A</v>
      </c>
      <c r="D45" s="3">
        <f>RΩ汇总!D44</f>
        <v>0</v>
      </c>
      <c r="E45" s="4" cm="1">
        <f t="array" ref="E45">RΩ汇总!E44-INDEX(RΩ汇总!E:E,MATCH(MIN(IF(RΩ汇总!F:F&gt;0,RΩ汇总!F:F)),RΩ汇总!F:F,0))</f>
        <v>7.5089807025004757E-2</v>
      </c>
      <c r="F45" s="4">
        <v>2.9671455183956991E-2</v>
      </c>
      <c r="G45" s="4" t="e" cm="1">
        <f t="array" ref="G45">RΩ汇总!G44-INDEX(RΩ汇总!G:G,MATCH(MIN(IF(RΩ汇总!G:G&gt;0,RΩ汇总!G:G)),RΩ汇总!G:G,0))</f>
        <v>#N/A</v>
      </c>
      <c r="H45" s="4">
        <f>RΩ汇总!H44</f>
        <v>0</v>
      </c>
      <c r="I45" s="2" cm="1">
        <f t="array" ref="I45">RΩ汇总!I44-INDEX(RΩ汇总!I:I,MATCH(MIN(IF(RΩ汇总!J:J&gt;0,RΩ汇总!J:J)),RΩ汇总!J:J,0))</f>
        <v>8.7612746005666542E-2</v>
      </c>
      <c r="J45" s="2">
        <v>3.1883902325193184E-2</v>
      </c>
      <c r="K45" s="2" t="e" cm="1">
        <f t="array" ref="K45">RΩ汇总!K44-INDEX(RΩ汇总!K:K,MATCH(MIN(IF(RΩ汇总!K:K&gt;0,RΩ汇总!K:K)),RΩ汇总!K:K,0))</f>
        <v>#N/A</v>
      </c>
      <c r="L45" s="2">
        <f>RΩ汇总!L44</f>
        <v>0</v>
      </c>
      <c r="M45" s="1" cm="1">
        <f t="array" ref="M45">RΩ汇总!M44-INDEX(RΩ汇总!M:M,MATCH(MIN(IF(RΩ汇总!N:N&gt;0,RΩ汇总!N:N)),RΩ汇总!N:N,0))</f>
        <v>0.14431148452522258</v>
      </c>
      <c r="N45" s="1">
        <v>5.7543277630975026E-2</v>
      </c>
      <c r="O45" s="1" t="e" cm="1">
        <f t="array" ref="O45">RΩ汇总!O44-INDEX(RΩ汇总!O:O,MATCH(MIN(IF(RΩ汇总!O:O&gt;0,RΩ汇总!O:O)),RΩ汇总!O:O,0))</f>
        <v>#N/A</v>
      </c>
      <c r="P45" s="1">
        <f>RΩ汇总!P44</f>
        <v>0</v>
      </c>
    </row>
    <row r="46" spans="1:16" x14ac:dyDescent="0.2">
      <c r="A46" s="3" cm="1">
        <f t="array" ref="A46">RΩ汇总!A45-INDEX(RΩ汇总!A:A,MATCH(MIN(IF(RΩ汇总!B:B&gt;0,RΩ汇总!B:B)),RΩ汇总!B:B,0))</f>
        <v>4.1371597908089114E-2</v>
      </c>
      <c r="B46" s="3">
        <v>1.449924640419877E-2</v>
      </c>
      <c r="C46" s="3" t="e" cm="1">
        <f t="array" ref="C46">RΩ汇总!C45-INDEX(RΩ汇总!C:C,MATCH(MIN(IF(RΩ汇总!D:D&gt;0,RΩ汇总!D:D)),RΩ汇总!D:D,0))</f>
        <v>#N/A</v>
      </c>
      <c r="D46" s="3">
        <f>RΩ汇总!D45</f>
        <v>0</v>
      </c>
      <c r="E46" s="4" cm="1">
        <f t="array" ref="E46">RΩ汇总!E45-INDEX(RΩ汇总!E:E,MATCH(MIN(IF(RΩ汇总!F:F&gt;0,RΩ汇总!F:F)),RΩ汇总!F:F,0))</f>
        <v>8.0519898472698664E-2</v>
      </c>
      <c r="F46" s="4">
        <v>2.9264781815108117E-2</v>
      </c>
      <c r="G46" s="4" t="e" cm="1">
        <f t="array" ref="G46">RΩ汇总!G45-INDEX(RΩ汇总!G:G,MATCH(MIN(IF(RΩ汇总!G:G&gt;0,RΩ汇总!G:G)),RΩ汇总!G:G,0))</f>
        <v>#N/A</v>
      </c>
      <c r="H46" s="4">
        <f>RΩ汇总!H45</f>
        <v>0</v>
      </c>
      <c r="I46" s="2" cm="1">
        <f t="array" ref="I46">RΩ汇总!I45-INDEX(RΩ汇总!I:I,MATCH(MIN(IF(RΩ汇总!J:J&gt;0,RΩ汇总!J:J)),RΩ汇总!J:J,0))</f>
        <v>9.2037006364805052E-2</v>
      </c>
      <c r="J46" s="2">
        <v>3.2824471898975263E-2</v>
      </c>
      <c r="K46" s="2" t="e" cm="1">
        <f t="array" ref="K46">RΩ汇总!K45-INDEX(RΩ汇总!K:K,MATCH(MIN(IF(RΩ汇总!K:K&gt;0,RΩ汇总!K:K)),RΩ汇总!K:K,0))</f>
        <v>#N/A</v>
      </c>
      <c r="L46" s="2">
        <f>RΩ汇总!L45</f>
        <v>0</v>
      </c>
      <c r="M46" s="1" cm="1">
        <f t="array" ref="M46">RΩ汇总!M45-INDEX(RΩ汇总!M:M,MATCH(MIN(IF(RΩ汇总!N:N&gt;0,RΩ汇总!N:N)),RΩ汇总!N:N,0))</f>
        <v>0.15354602912778481</v>
      </c>
      <c r="N46" s="1">
        <v>5.7531201311397412E-2</v>
      </c>
      <c r="O46" s="1" t="e" cm="1">
        <f t="array" ref="O46">RΩ汇总!O45-INDEX(RΩ汇总!O:O,MATCH(MIN(IF(RΩ汇总!O:O&gt;0,RΩ汇总!O:O)),RΩ汇总!O:O,0))</f>
        <v>#N/A</v>
      </c>
      <c r="P46" s="1">
        <f>RΩ汇总!P45</f>
        <v>0</v>
      </c>
    </row>
    <row r="47" spans="1:16" x14ac:dyDescent="0.2">
      <c r="A47" s="3" cm="1">
        <f t="array" ref="A47">RΩ汇总!A46-INDEX(RΩ汇总!A:A,MATCH(MIN(IF(RΩ汇总!B:B&gt;0,RΩ汇总!B:B)),RΩ汇总!B:B,0))</f>
        <v>4.4406824696160946E-2</v>
      </c>
      <c r="B47" s="3">
        <v>1.5088898429512998E-2</v>
      </c>
      <c r="C47" s="3" t="e" cm="1">
        <f t="array" ref="C47">RΩ汇总!C46-INDEX(RΩ汇总!C:C,MATCH(MIN(IF(RΩ汇总!D:D&gt;0,RΩ汇总!D:D)),RΩ汇总!D:D,0))</f>
        <v>#N/A</v>
      </c>
      <c r="D47" s="3">
        <f>RΩ汇总!D46</f>
        <v>0</v>
      </c>
      <c r="E47" s="4" cm="1">
        <f t="array" ref="E47">RΩ汇总!E46-INDEX(RΩ汇总!E:E,MATCH(MIN(IF(RΩ汇总!F:F&gt;0,RΩ汇总!F:F)),RΩ汇总!F:F,0))</f>
        <v>8.4526305616573233E-2</v>
      </c>
      <c r="F47" s="4">
        <v>2.8320321875190103E-2</v>
      </c>
      <c r="G47" s="4" t="e" cm="1">
        <f t="array" ref="G47">RΩ汇总!G46-INDEX(RΩ汇总!G:G,MATCH(MIN(IF(RΩ汇总!G:G&gt;0,RΩ汇总!G:G)),RΩ汇总!G:G,0))</f>
        <v>#N/A</v>
      </c>
      <c r="H47" s="4">
        <f>RΩ汇总!H46</f>
        <v>0</v>
      </c>
      <c r="I47" s="2" cm="1">
        <f t="array" ref="I47">RΩ汇总!I46-INDEX(RΩ汇总!I:I,MATCH(MIN(IF(RΩ汇总!J:J&gt;0,RΩ汇总!J:J)),RΩ汇总!J:J,0))</f>
        <v>9.8050410232922269E-2</v>
      </c>
      <c r="J47" s="2">
        <v>3.2470138734944122E-2</v>
      </c>
      <c r="K47" s="2" t="e" cm="1">
        <f t="array" ref="K47">RΩ汇总!K46-INDEX(RΩ汇总!K:K,MATCH(MIN(IF(RΩ汇总!K:K&gt;0,RΩ汇总!K:K)),RΩ汇总!K:K,0))</f>
        <v>#N/A</v>
      </c>
      <c r="L47" s="2">
        <f>RΩ汇总!L46</f>
        <v>0</v>
      </c>
      <c r="M47" s="1" cm="1">
        <f t="array" ref="M47">RΩ汇总!M46-INDEX(RΩ汇总!M:M,MATCH(MIN(IF(RΩ汇总!N:N&gt;0,RΩ汇总!N:N)),RΩ汇总!N:N,0))</f>
        <v>0.16394611664374753</v>
      </c>
      <c r="N47" s="1">
        <v>5.8135986848917014E-2</v>
      </c>
      <c r="O47" s="1" t="e" cm="1">
        <f t="array" ref="O47">RΩ汇总!O46-INDEX(RΩ汇总!O:O,MATCH(MIN(IF(RΩ汇总!O:O&gt;0,RΩ汇总!O:O)),RΩ汇总!O:O,0))</f>
        <v>#N/A</v>
      </c>
      <c r="P47" s="1">
        <f>RΩ汇总!P46</f>
        <v>0</v>
      </c>
    </row>
    <row r="48" spans="1:16" x14ac:dyDescent="0.2">
      <c r="A48" s="3" cm="1">
        <f t="array" ref="A48">RΩ汇总!A47-INDEX(RΩ汇总!A:A,MATCH(MIN(IF(RΩ汇总!B:B&gt;0,RΩ汇总!B:B)),RΩ汇总!B:B,0))</f>
        <v>4.7484925504650222E-2</v>
      </c>
      <c r="B48" s="3">
        <v>1.5713847528442342E-2</v>
      </c>
      <c r="C48" s="3" t="e" cm="1">
        <f t="array" ref="C48">RΩ汇总!C47-INDEX(RΩ汇总!C:C,MATCH(MIN(IF(RΩ汇总!D:D&gt;0,RΩ汇总!D:D)),RΩ汇总!D:D,0))</f>
        <v>#N/A</v>
      </c>
      <c r="D48" s="3">
        <f>RΩ汇总!D47</f>
        <v>0</v>
      </c>
      <c r="E48" s="4" cm="1">
        <f t="array" ref="E48">RΩ汇总!E47-INDEX(RΩ汇总!E:E,MATCH(MIN(IF(RΩ汇总!F:F&gt;0,RΩ汇总!F:F)),RΩ汇总!F:F,0))</f>
        <v>8.8683309857168574E-2</v>
      </c>
      <c r="F48" s="4">
        <v>2.8835728067592603E-2</v>
      </c>
      <c r="G48" s="4" t="e" cm="1">
        <f t="array" ref="G48">RΩ汇总!G47-INDEX(RΩ汇总!G:G,MATCH(MIN(IF(RΩ汇总!G:G&gt;0,RΩ汇总!G:G)),RΩ汇总!G:G,0))</f>
        <v>#N/A</v>
      </c>
      <c r="H48" s="4">
        <f>RΩ汇总!H47</f>
        <v>0</v>
      </c>
      <c r="I48" s="2" cm="1">
        <f t="array" ref="I48">RΩ汇总!I47-INDEX(RΩ汇总!I:I,MATCH(MIN(IF(RΩ汇总!J:J&gt;0,RΩ汇总!J:J)),RΩ汇总!J:J,0))</f>
        <v>0.10312478925529367</v>
      </c>
      <c r="J48" s="2">
        <v>3.1332178657833595E-2</v>
      </c>
      <c r="K48" s="2" t="e" cm="1">
        <f t="array" ref="K48">RΩ汇总!K47-INDEX(RΩ汇总!K:K,MATCH(MIN(IF(RΩ汇总!K:K&gt;0,RΩ汇总!K:K)),RΩ汇总!K:K,0))</f>
        <v>#N/A</v>
      </c>
      <c r="L48" s="2">
        <f>RΩ汇总!L47</f>
        <v>0</v>
      </c>
      <c r="M48" s="1" cm="1">
        <f t="array" ref="M48">RΩ汇总!M47-INDEX(RΩ汇总!M:M,MATCH(MIN(IF(RΩ汇总!N:N&gt;0,RΩ汇总!N:N)),RΩ汇总!N:N,0))</f>
        <v>0.17398601156502358</v>
      </c>
      <c r="N48" s="1">
        <v>5.7368611580833818E-2</v>
      </c>
      <c r="O48" s="1" t="e" cm="1">
        <f t="array" ref="O48">RΩ汇总!O47-INDEX(RΩ汇总!O:O,MATCH(MIN(IF(RΩ汇总!O:O&gt;0,RΩ汇总!O:O)),RΩ汇总!O:O,0))</f>
        <v>#N/A</v>
      </c>
      <c r="P48" s="1">
        <f>RΩ汇总!P47</f>
        <v>0</v>
      </c>
    </row>
    <row r="49" spans="1:16" x14ac:dyDescent="0.2">
      <c r="A49" s="3" cm="1">
        <f t="array" ref="A49">RΩ汇总!A48-INDEX(RΩ汇总!A:A,MATCH(MIN(IF(RΩ汇总!B:B&gt;0,RΩ汇总!B:B)),RΩ汇总!B:B,0))</f>
        <v>4.8649250986249754E-2</v>
      </c>
      <c r="B49" s="3">
        <v>1.6247766986945252E-2</v>
      </c>
      <c r="C49" s="3" t="e" cm="1">
        <f t="array" ref="C49">RΩ汇总!C48-INDEX(RΩ汇总!C:C,MATCH(MIN(IF(RΩ汇总!D:D&gt;0,RΩ汇总!D:D)),RΩ汇总!D:D,0))</f>
        <v>#N/A</v>
      </c>
      <c r="D49" s="3">
        <f>RΩ汇总!D48</f>
        <v>0</v>
      </c>
      <c r="E49" s="4" cm="1">
        <f t="array" ref="E49">RΩ汇总!E48-INDEX(RΩ汇总!E:E,MATCH(MIN(IF(RΩ汇总!F:F&gt;0,RΩ汇总!F:F)),RΩ汇总!F:F,0))</f>
        <v>9.2666063258632053E-2</v>
      </c>
      <c r="F49" s="4">
        <v>2.885339559490609E-2</v>
      </c>
      <c r="G49" s="4" t="e" cm="1">
        <f t="array" ref="G49">RΩ汇总!G48-INDEX(RΩ汇总!G:G,MATCH(MIN(IF(RΩ汇总!G:G&gt;0,RΩ汇总!G:G)),RΩ汇总!G:G,0))</f>
        <v>#N/A</v>
      </c>
      <c r="H49" s="4">
        <f>RΩ汇总!H48</f>
        <v>0</v>
      </c>
      <c r="I49" s="2" cm="1">
        <f t="array" ref="I49">RΩ汇总!I48-INDEX(RΩ汇总!I:I,MATCH(MIN(IF(RΩ汇总!J:J&gt;0,RΩ汇总!J:J)),RΩ汇总!J:J,0))</f>
        <v>0.10871016556516755</v>
      </c>
      <c r="J49" s="2">
        <v>3.0514521721124951E-2</v>
      </c>
      <c r="K49" s="2" t="e" cm="1">
        <f t="array" ref="K49">RΩ汇总!K48-INDEX(RΩ汇总!K:K,MATCH(MIN(IF(RΩ汇总!K:K&gt;0,RΩ汇总!K:K)),RΩ汇总!K:K,0))</f>
        <v>#N/A</v>
      </c>
      <c r="L49" s="2">
        <f>RΩ汇总!L48</f>
        <v>0</v>
      </c>
      <c r="M49" s="1" cm="1">
        <f t="array" ref="M49">RΩ汇总!M48-INDEX(RΩ汇总!M:M,MATCH(MIN(IF(RΩ汇总!N:N&gt;0,RΩ汇总!N:N)),RΩ汇总!N:N,0))</f>
        <v>0.18300077839056916</v>
      </c>
      <c r="N49" s="1">
        <v>5.5946718912334888E-2</v>
      </c>
      <c r="O49" s="1" t="e" cm="1">
        <f t="array" ref="O49">RΩ汇总!O48-INDEX(RΩ汇总!O:O,MATCH(MIN(IF(RΩ汇总!O:O&gt;0,RΩ汇总!O:O)),RΩ汇总!O:O,0))</f>
        <v>#N/A</v>
      </c>
      <c r="P49" s="1">
        <f>RΩ汇总!P48</f>
        <v>0</v>
      </c>
    </row>
    <row r="50" spans="1:16" x14ac:dyDescent="0.2">
      <c r="A50" s="3" cm="1">
        <f t="array" ref="A50">RΩ汇总!A49-INDEX(RΩ汇总!A:A,MATCH(MIN(IF(RΩ汇总!B:B&gt;0,RΩ汇总!B:B)),RΩ汇总!B:B,0))</f>
        <v>5.2270354472486125E-2</v>
      </c>
      <c r="B50" s="3">
        <v>1.4943585802404243E-2</v>
      </c>
      <c r="C50" s="3" t="e" cm="1">
        <f t="array" ref="C50">RΩ汇总!C49-INDEX(RΩ汇总!C:C,MATCH(MIN(IF(RΩ汇总!D:D&gt;0,RΩ汇总!D:D)),RΩ汇总!D:D,0))</f>
        <v>#N/A</v>
      </c>
      <c r="D50" s="3">
        <f>RΩ汇总!D49</f>
        <v>0</v>
      </c>
      <c r="E50" s="4" cm="1">
        <f t="array" ref="E50">RΩ汇总!E49-INDEX(RΩ汇总!E:E,MATCH(MIN(IF(RΩ汇总!F:F&gt;0,RΩ汇总!F:F)),RΩ汇总!F:F,0))</f>
        <v>9.8626295308818751E-2</v>
      </c>
      <c r="F50" s="4">
        <v>2.7570909449894387E-2</v>
      </c>
      <c r="G50" s="4" t="e" cm="1">
        <f t="array" ref="G50">RΩ汇总!G49-INDEX(RΩ汇总!G:G,MATCH(MIN(IF(RΩ汇总!G:G&gt;0,RΩ汇总!G:G)),RΩ汇总!G:G,0))</f>
        <v>#N/A</v>
      </c>
      <c r="H50" s="4">
        <f>RΩ汇总!H49</f>
        <v>0</v>
      </c>
      <c r="I50" s="2" cm="1">
        <f t="array" ref="I50">RΩ汇总!I49-INDEX(RΩ汇总!I:I,MATCH(MIN(IF(RΩ汇总!J:J&gt;0,RΩ汇总!J:J)),RΩ汇总!J:J,0))</f>
        <v>0.11419423834119752</v>
      </c>
      <c r="J50" s="2">
        <v>2.852259630149194E-2</v>
      </c>
      <c r="K50" s="2" t="e" cm="1">
        <f t="array" ref="K50">RΩ汇总!K49-INDEX(RΩ汇总!K:K,MATCH(MIN(IF(RΩ汇总!K:K&gt;0,RΩ汇总!K:K)),RΩ汇总!K:K,0))</f>
        <v>#N/A</v>
      </c>
      <c r="L50" s="2">
        <f>RΩ汇总!L49</f>
        <v>0</v>
      </c>
      <c r="M50" s="1" cm="1">
        <f t="array" ref="M50">RΩ汇总!M49-INDEX(RΩ汇总!M:M,MATCH(MIN(IF(RΩ汇总!N:N&gt;0,RΩ汇总!N:N)),RΩ汇总!N:N,0))</f>
        <v>0.19324879288481739</v>
      </c>
      <c r="N50" s="1">
        <v>5.4105346014972362E-2</v>
      </c>
      <c r="O50" s="1" t="e" cm="1">
        <f t="array" ref="O50">RΩ汇总!O49-INDEX(RΩ汇总!O:O,MATCH(MIN(IF(RΩ汇总!O:O&gt;0,RΩ汇总!O:O)),RΩ汇总!O:O,0))</f>
        <v>#N/A</v>
      </c>
      <c r="P50" s="1">
        <f>RΩ汇总!P49</f>
        <v>0</v>
      </c>
    </row>
    <row r="51" spans="1:16" x14ac:dyDescent="0.2">
      <c r="A51" s="3" cm="1">
        <f t="array" ref="A51">RΩ汇总!A50-INDEX(RΩ汇总!A:A,MATCH(MIN(IF(RΩ汇总!B:B&gt;0,RΩ汇总!B:B)),RΩ汇总!B:B,0))</f>
        <v>5.6162749814497204E-2</v>
      </c>
      <c r="B51" s="3">
        <v>1.5224678963949098E-2</v>
      </c>
      <c r="C51" s="3" t="e" cm="1">
        <f t="array" ref="C51">RΩ汇总!C50-INDEX(RΩ汇总!C:C,MATCH(MIN(IF(RΩ汇总!D:D&gt;0,RΩ汇总!D:D)),RΩ汇总!D:D,0))</f>
        <v>#N/A</v>
      </c>
      <c r="D51" s="3">
        <f>RΩ汇总!D50</f>
        <v>0</v>
      </c>
      <c r="E51" s="4" cm="1">
        <f t="array" ref="E51">RΩ汇总!E50-INDEX(RΩ汇总!E:E,MATCH(MIN(IF(RΩ汇总!F:F&gt;0,RΩ汇总!F:F)),RΩ汇总!F:F,0))</f>
        <v>0.10345177708919309</v>
      </c>
      <c r="F51" s="4">
        <v>2.5994708305222606E-2</v>
      </c>
      <c r="G51" s="4" t="e" cm="1">
        <f t="array" ref="G51">RΩ汇总!G50-INDEX(RΩ汇总!G:G,MATCH(MIN(IF(RΩ汇总!G:G&gt;0,RΩ汇总!G:G)),RΩ汇总!G:G,0))</f>
        <v>#N/A</v>
      </c>
      <c r="H51" s="4">
        <f>RΩ汇总!H50</f>
        <v>0</v>
      </c>
      <c r="I51" s="2" cm="1">
        <f t="array" ref="I51">RΩ汇总!I50-INDEX(RΩ汇总!I:I,MATCH(MIN(IF(RΩ汇总!J:J&gt;0,RΩ汇总!J:J)),RΩ汇总!J:J,0))</f>
        <v>0.11836211318358081</v>
      </c>
      <c r="J51" s="2">
        <v>2.7723222897404691E-2</v>
      </c>
      <c r="K51" s="2" t="e" cm="1">
        <f t="array" ref="K51">RΩ汇总!K50-INDEX(RΩ汇总!K:K,MATCH(MIN(IF(RΩ汇总!K:K&gt;0,RΩ汇总!K:K)),RΩ汇总!K:K,0))</f>
        <v>#N/A</v>
      </c>
      <c r="L51" s="2">
        <f>RΩ汇总!L50</f>
        <v>0</v>
      </c>
      <c r="M51" s="1" cm="1">
        <f t="array" ref="M51">RΩ汇总!M50-INDEX(RΩ汇总!M:M,MATCH(MIN(IF(RΩ汇总!N:N&gt;0,RΩ汇总!N:N)),RΩ汇总!N:N,0))</f>
        <v>0.20249949898400377</v>
      </c>
      <c r="N51" s="1">
        <v>5.0299239235931617E-2</v>
      </c>
      <c r="O51" s="1" t="e" cm="1">
        <f t="array" ref="O51">RΩ汇总!O50-INDEX(RΩ汇总!O:O,MATCH(MIN(IF(RΩ汇总!O:O&gt;0,RΩ汇总!O:O)),RΩ汇总!O:O,0))</f>
        <v>#N/A</v>
      </c>
      <c r="P51" s="1">
        <f>RΩ汇总!P50</f>
        <v>0</v>
      </c>
    </row>
    <row r="52" spans="1:16" x14ac:dyDescent="0.2">
      <c r="A52" s="3" cm="1">
        <f t="array" ref="A52">RΩ汇总!A51-INDEX(RΩ汇总!A:A,MATCH(MIN(IF(RΩ汇总!B:B&gt;0,RΩ汇总!B:B)),RΩ汇总!B:B,0))</f>
        <v>5.8059913526544743E-2</v>
      </c>
      <c r="B52" s="3">
        <v>1.466359514409747E-2</v>
      </c>
      <c r="C52" s="3" t="e" cm="1">
        <f t="array" ref="C52">RΩ汇总!C51-INDEX(RΩ汇总!C:C,MATCH(MIN(IF(RΩ汇总!D:D&gt;0,RΩ汇总!D:D)),RΩ汇总!D:D,0))</f>
        <v>#N/A</v>
      </c>
      <c r="D52" s="3">
        <f>RΩ汇总!D51</f>
        <v>0</v>
      </c>
      <c r="E52" s="4" cm="1">
        <f t="array" ref="E52">RΩ汇总!E51-INDEX(RΩ汇总!E:E,MATCH(MIN(IF(RΩ汇总!F:F&gt;0,RΩ汇总!F:F)),RΩ汇总!F:F,0))</f>
        <v>0.10751969579154744</v>
      </c>
      <c r="F52" s="4">
        <v>2.3266158009702779E-2</v>
      </c>
      <c r="G52" s="4" t="e" cm="1">
        <f t="array" ref="G52">RΩ汇总!G51-INDEX(RΩ汇总!G:G,MATCH(MIN(IF(RΩ汇总!G:G&gt;0,RΩ汇总!G:G)),RΩ汇总!G:G,0))</f>
        <v>#N/A</v>
      </c>
      <c r="H52" s="4">
        <f>RΩ汇总!H51</f>
        <v>0</v>
      </c>
      <c r="I52" s="2" cm="1">
        <f t="array" ref="I52">RΩ汇总!I51-INDEX(RΩ汇总!I:I,MATCH(MIN(IF(RΩ汇总!J:J&gt;0,RΩ汇总!J:J)),RΩ汇总!J:J,0))</f>
        <v>0.12397292978878216</v>
      </c>
      <c r="J52" s="2">
        <v>2.5385957222453102E-2</v>
      </c>
      <c r="K52" s="2" t="e" cm="1">
        <f t="array" ref="K52">RΩ汇总!K51-INDEX(RΩ汇总!K:K,MATCH(MIN(IF(RΩ汇总!K:K&gt;0,RΩ汇总!K:K)),RΩ汇总!K:K,0))</f>
        <v>#N/A</v>
      </c>
      <c r="L52" s="2">
        <f>RΩ汇总!L51</f>
        <v>0</v>
      </c>
      <c r="M52" s="1" cm="1">
        <f t="array" ref="M52">RΩ汇总!M51-INDEX(RΩ汇总!M:M,MATCH(MIN(IF(RΩ汇总!N:N&gt;0,RΩ汇总!N:N)),RΩ汇总!N:N,0))</f>
        <v>0.21330033934432391</v>
      </c>
      <c r="N52" s="1">
        <v>4.7387052958369098E-2</v>
      </c>
      <c r="O52" s="1" t="e" cm="1">
        <f t="array" ref="O52">RΩ汇总!O51-INDEX(RΩ汇总!O:O,MATCH(MIN(IF(RΩ汇总!O:O&gt;0,RΩ汇总!O:O)),RΩ汇总!O:O,0))</f>
        <v>#N/A</v>
      </c>
      <c r="P52" s="1">
        <f>RΩ汇总!P51</f>
        <v>0</v>
      </c>
    </row>
    <row r="53" spans="1:16" x14ac:dyDescent="0.2">
      <c r="A53" s="3" cm="1">
        <f t="array" ref="A53">RΩ汇总!A52-INDEX(RΩ汇总!A:A,MATCH(MIN(IF(RΩ汇总!B:B&gt;0,RΩ汇总!B:B)),RΩ汇总!B:B,0))</f>
        <v>6.1191931443534936E-2</v>
      </c>
      <c r="B53" s="3">
        <v>1.3240812813131848E-2</v>
      </c>
      <c r="C53" s="3" t="e" cm="1">
        <f t="array" ref="C53">RΩ汇总!C52-INDEX(RΩ汇总!C:C,MATCH(MIN(IF(RΩ汇总!D:D&gt;0,RΩ汇总!D:D)),RΩ汇总!D:D,0))</f>
        <v>#N/A</v>
      </c>
      <c r="D53" s="3">
        <f>RΩ汇总!D52</f>
        <v>0</v>
      </c>
      <c r="E53" s="4" cm="1">
        <f t="array" ref="E53">RΩ汇总!E52-INDEX(RΩ汇总!E:E,MATCH(MIN(IF(RΩ汇总!F:F&gt;0,RΩ汇总!F:F)),RΩ汇总!F:F,0))</f>
        <v>0.11177953238510266</v>
      </c>
      <c r="F53" s="4">
        <v>2.1859078304634901E-2</v>
      </c>
      <c r="G53" s="4" t="e" cm="1">
        <f t="array" ref="G53">RΩ汇总!G52-INDEX(RΩ汇总!G:G,MATCH(MIN(IF(RΩ汇总!G:G&gt;0,RΩ汇总!G:G)),RΩ汇总!G:G,0))</f>
        <v>#N/A</v>
      </c>
      <c r="H53" s="4">
        <f>RΩ汇总!H52</f>
        <v>0</v>
      </c>
      <c r="I53" s="2" cm="1">
        <f t="array" ref="I53">RΩ汇总!I52-INDEX(RΩ汇总!I:I,MATCH(MIN(IF(RΩ汇总!J:J&gt;0,RΩ汇总!J:J)),RΩ汇总!J:J,0))</f>
        <v>0.1269058253391443</v>
      </c>
      <c r="J53" s="2">
        <v>2.2151992261581252E-2</v>
      </c>
      <c r="K53" s="2" t="e" cm="1">
        <f t="array" ref="K53">RΩ汇总!K52-INDEX(RΩ汇总!K:K,MATCH(MIN(IF(RΩ汇总!K:K&gt;0,RΩ汇总!K:K)),RΩ汇总!K:K,0))</f>
        <v>#N/A</v>
      </c>
      <c r="L53" s="2">
        <f>RΩ汇总!L52</f>
        <v>0</v>
      </c>
      <c r="M53" s="1" cm="1">
        <f t="array" ref="M53">RΩ汇总!M52-INDEX(RΩ汇总!M:M,MATCH(MIN(IF(RΩ汇总!N:N&gt;0,RΩ汇总!N:N)),RΩ汇总!N:N,0))</f>
        <v>0.22140620527660915</v>
      </c>
      <c r="N53" s="1">
        <v>4.3061737632671071E-2</v>
      </c>
      <c r="O53" s="1" t="e" cm="1">
        <f t="array" ref="O53">RΩ汇总!O52-INDEX(RΩ汇总!O:O,MATCH(MIN(IF(RΩ汇总!O:O&gt;0,RΩ汇总!O:O)),RΩ汇总!O:O,0))</f>
        <v>#N/A</v>
      </c>
      <c r="P53" s="1">
        <f>RΩ汇总!P52</f>
        <v>0</v>
      </c>
    </row>
    <row r="54" spans="1:16" x14ac:dyDescent="0.2">
      <c r="A54" s="3" cm="1">
        <f t="array" ref="A54">RΩ汇总!A53-INDEX(RΩ汇总!A:A,MATCH(MIN(IF(RΩ汇总!B:B&gt;0,RΩ汇总!B:B)),RΩ汇总!B:B,0))</f>
        <v>6.3519256944640862E-2</v>
      </c>
      <c r="B54" s="3">
        <v>1.1348564478072974E-2</v>
      </c>
      <c r="C54" s="3" t="e" cm="1">
        <f t="array" ref="C54">RΩ汇总!C53-INDEX(RΩ汇总!C:C,MATCH(MIN(IF(RΩ汇总!D:D&gt;0,RΩ汇总!D:D)),RΩ汇总!D:D,0))</f>
        <v>#N/A</v>
      </c>
      <c r="D54" s="3">
        <f>RΩ汇总!D53</f>
        <v>0</v>
      </c>
      <c r="E54" s="4" cm="1">
        <f t="array" ref="E54">RΩ汇总!E53-INDEX(RΩ汇总!E:E,MATCH(MIN(IF(RΩ汇总!F:F&gt;0,RΩ汇总!F:F)),RΩ汇总!F:F,0))</f>
        <v>0.1138885520531788</v>
      </c>
      <c r="F54" s="4">
        <v>1.8358237541412855E-2</v>
      </c>
      <c r="G54" s="4" t="e" cm="1">
        <f t="array" ref="G54">RΩ汇总!G53-INDEX(RΩ汇总!G:G,MATCH(MIN(IF(RΩ汇总!G:G&gt;0,RΩ汇总!G:G)),RΩ汇总!G:G,0))</f>
        <v>#N/A</v>
      </c>
      <c r="H54" s="4">
        <f>RΩ汇总!H53</f>
        <v>0</v>
      </c>
      <c r="I54" s="2" cm="1">
        <f t="array" ref="I54">RΩ汇总!I53-INDEX(RΩ汇总!I:I,MATCH(MIN(IF(RΩ汇总!J:J&gt;0,RΩ汇总!J:J)),RΩ汇总!J:J,0))</f>
        <v>0.13177211582131182</v>
      </c>
      <c r="J54" s="2">
        <v>1.9240198234307421E-2</v>
      </c>
      <c r="K54" s="2" t="e" cm="1">
        <f t="array" ref="K54">RΩ汇总!K53-INDEX(RΩ汇总!K:K,MATCH(MIN(IF(RΩ汇总!K:K&gt;0,RΩ汇总!K:K)),RΩ汇总!K:K,0))</f>
        <v>#N/A</v>
      </c>
      <c r="L54" s="2">
        <f>RΩ汇总!L53</f>
        <v>0</v>
      </c>
      <c r="M54" s="1" cm="1">
        <f t="array" ref="M54">RΩ汇总!M53-INDEX(RΩ汇总!M:M,MATCH(MIN(IF(RΩ汇总!N:N&gt;0,RΩ汇总!N:N)),RΩ汇总!N:N,0))</f>
        <v>0.22887249077225463</v>
      </c>
      <c r="N54" s="1">
        <v>4.0438131901176802E-2</v>
      </c>
      <c r="O54" s="1" t="e" cm="1">
        <f t="array" ref="O54">RΩ汇总!O53-INDEX(RΩ汇总!O:O,MATCH(MIN(IF(RΩ汇总!O:O&gt;0,RΩ汇总!O:O)),RΩ汇总!O:O,0))</f>
        <v>#N/A</v>
      </c>
      <c r="P54" s="1">
        <f>RΩ汇总!P53</f>
        <v>0</v>
      </c>
    </row>
    <row r="55" spans="1:16" x14ac:dyDescent="0.2">
      <c r="A55" s="3" cm="1">
        <f t="array" ref="A55">RΩ汇总!A54-INDEX(RΩ汇总!A:A,MATCH(MIN(IF(RΩ汇总!B:B&gt;0,RΩ汇总!B:B)),RΩ汇总!B:B,0))</f>
        <v>6.4024697174465711E-2</v>
      </c>
      <c r="B55" s="3">
        <v>1.0550529350924941E-2</v>
      </c>
      <c r="C55" s="3" t="e" cm="1">
        <f t="array" ref="C55">RΩ汇总!C54-INDEX(RΩ汇总!C:C,MATCH(MIN(IF(RΩ汇总!D:D&gt;0,RΩ汇总!D:D)),RΩ汇总!D:D,0))</f>
        <v>#N/A</v>
      </c>
      <c r="D55" s="3">
        <f>RΩ汇总!D54</f>
        <v>0</v>
      </c>
      <c r="E55" s="4" cm="1">
        <f t="array" ref="E55">RΩ汇总!E54-INDEX(RΩ汇总!E:E,MATCH(MIN(IF(RΩ汇总!F:F&gt;0,RΩ汇总!F:F)),RΩ汇总!F:F,0))</f>
        <v>0.11766687874901846</v>
      </c>
      <c r="F55" s="4">
        <v>1.5902757686846281E-2</v>
      </c>
      <c r="G55" s="4" t="e" cm="1">
        <f t="array" ref="G55">RΩ汇总!G54-INDEX(RΩ汇总!G:G,MATCH(MIN(IF(RΩ汇总!G:G&gt;0,RΩ汇总!G:G)),RΩ汇总!G:G,0))</f>
        <v>#N/A</v>
      </c>
      <c r="H55" s="4">
        <f>RΩ汇总!H54</f>
        <v>0</v>
      </c>
      <c r="I55" s="2" cm="1">
        <f t="array" ref="I55">RΩ汇总!I54-INDEX(RΩ汇总!I:I,MATCH(MIN(IF(RΩ汇总!J:J&gt;0,RΩ汇总!J:J)),RΩ汇总!J:J,0))</f>
        <v>0.13521632073849676</v>
      </c>
      <c r="J55" s="2">
        <v>1.6802253660175237E-2</v>
      </c>
      <c r="K55" s="2" t="e" cm="1">
        <f t="array" ref="K55">RΩ汇总!K54-INDEX(RΩ汇总!K:K,MATCH(MIN(IF(RΩ汇总!K:K&gt;0,RΩ汇总!K:K)),RΩ汇总!K:K,0))</f>
        <v>#N/A</v>
      </c>
      <c r="L55" s="2">
        <f>RΩ汇总!L54</f>
        <v>0</v>
      </c>
      <c r="M55" s="1" cm="1">
        <f t="array" ref="M55">RΩ汇总!M54-INDEX(RΩ汇总!M:M,MATCH(MIN(IF(RΩ汇总!N:N&gt;0,RΩ汇总!N:N)),RΩ汇总!N:N,0))</f>
        <v>0.2339013107213046</v>
      </c>
      <c r="N55" s="1">
        <v>3.3006189073983193E-2</v>
      </c>
      <c r="O55" s="1" t="e" cm="1">
        <f t="array" ref="O55">RΩ汇总!O54-INDEX(RΩ汇总!O:O,MATCH(MIN(IF(RΩ汇总!O:O&gt;0,RΩ汇总!O:O)),RΩ汇总!O:O,0))</f>
        <v>#N/A</v>
      </c>
      <c r="P55" s="1">
        <f>RΩ汇总!P54</f>
        <v>0</v>
      </c>
    </row>
    <row r="56" spans="1:16" x14ac:dyDescent="0.2">
      <c r="A56" s="3" cm="1">
        <f t="array" ref="A56">RΩ汇总!A55-INDEX(RΩ汇总!A:A,MATCH(MIN(IF(RΩ汇总!B:B&gt;0,RΩ汇总!B:B)),RΩ汇总!B:B,0))</f>
        <v>6.480593571577159E-2</v>
      </c>
      <c r="B56" s="3">
        <v>8.9139213778783571E-3</v>
      </c>
      <c r="C56" s="3" t="e" cm="1">
        <f t="array" ref="C56">RΩ汇总!C55-INDEX(RΩ汇总!C:C,MATCH(MIN(IF(RΩ汇总!D:D&gt;0,RΩ汇总!D:D)),RΩ汇总!D:D,0))</f>
        <v>#N/A</v>
      </c>
      <c r="D56" s="3">
        <f>RΩ汇总!D55</f>
        <v>0</v>
      </c>
      <c r="E56" s="4" cm="1">
        <f t="array" ref="E56">RΩ汇总!E55-INDEX(RΩ汇总!E:E,MATCH(MIN(IF(RΩ汇总!F:F&gt;0,RΩ汇总!F:F)),RΩ汇总!F:F,0))</f>
        <v>0.11805043071927671</v>
      </c>
      <c r="F56" s="4">
        <v>1.3473573506160103E-2</v>
      </c>
      <c r="G56" s="4" t="e" cm="1">
        <f t="array" ref="G56">RΩ汇总!G55-INDEX(RΩ汇总!G:G,MATCH(MIN(IF(RΩ汇总!G:G&gt;0,RΩ汇总!G:G)),RΩ汇总!G:G,0))</f>
        <v>#N/A</v>
      </c>
      <c r="H56" s="4">
        <f>RΩ汇总!H55</f>
        <v>0</v>
      </c>
      <c r="I56" s="2" cm="1">
        <f t="array" ref="I56">RΩ汇总!I55-INDEX(RΩ汇总!I:I,MATCH(MIN(IF(RΩ汇总!J:J&gt;0,RΩ汇总!J:J)),RΩ汇总!J:J,0))</f>
        <v>0.13927987747233278</v>
      </c>
      <c r="J56" s="2">
        <v>1.6040388713292827E-2</v>
      </c>
      <c r="K56" s="2" t="e" cm="1">
        <f t="array" ref="K56">RΩ汇总!K55-INDEX(RΩ汇总!K:K,MATCH(MIN(IF(RΩ汇总!K:K&gt;0,RΩ汇总!K:K)),RΩ汇总!K:K,0))</f>
        <v>#N/A</v>
      </c>
      <c r="L56" s="2">
        <f>RΩ汇总!L55</f>
        <v>0</v>
      </c>
      <c r="M56" s="1" cm="1">
        <f t="array" ref="M56">RΩ汇总!M55-INDEX(RΩ汇总!M:M,MATCH(MIN(IF(RΩ汇总!N:N&gt;0,RΩ汇总!N:N)),RΩ汇总!N:N,0))</f>
        <v>0.24093423664117697</v>
      </c>
      <c r="N56" s="1">
        <v>2.645391505285578E-2</v>
      </c>
      <c r="O56" s="1" t="e" cm="1">
        <f t="array" ref="O56">RΩ汇总!O55-INDEX(RΩ汇总!O:O,MATCH(MIN(IF(RΩ汇总!O:O&gt;0,RΩ汇总!O:O)),RΩ汇总!O:O,0))</f>
        <v>#N/A</v>
      </c>
      <c r="P56" s="1">
        <f>RΩ汇总!P55</f>
        <v>0</v>
      </c>
    </row>
    <row r="57" spans="1:16" x14ac:dyDescent="0.2">
      <c r="A57" s="3" cm="1">
        <f t="array" ref="A57">RΩ汇总!A56-INDEX(RΩ汇总!A:A,MATCH(MIN(IF(RΩ汇总!B:B&gt;0,RΩ汇总!B:B)),RΩ汇总!B:B,0))</f>
        <v>6.6687929345542962E-2</v>
      </c>
      <c r="B57" s="3">
        <v>7.3941326616264163E-3</v>
      </c>
      <c r="C57" s="3" t="e" cm="1">
        <f t="array" ref="C57">RΩ汇总!C56-INDEX(RΩ汇总!C:C,MATCH(MIN(IF(RΩ汇总!D:D&gt;0,RΩ汇总!D:D)),RΩ汇总!D:D,0))</f>
        <v>#N/A</v>
      </c>
      <c r="D57" s="3">
        <f>RΩ汇总!D56</f>
        <v>0</v>
      </c>
      <c r="E57" s="4" cm="1">
        <f t="array" ref="E57">RΩ汇总!E56-INDEX(RΩ汇总!E:E,MATCH(MIN(IF(RΩ汇总!F:F&gt;0,RΩ汇总!F:F)),RΩ汇总!F:F,0))</f>
        <v>0.12006935536262689</v>
      </c>
      <c r="F57" s="4">
        <v>1.0979897609101688E-2</v>
      </c>
      <c r="G57" s="4" t="e" cm="1">
        <f t="array" ref="G57">RΩ汇总!G56-INDEX(RΩ汇总!G:G,MATCH(MIN(IF(RΩ汇总!G:G&gt;0,RΩ汇总!G:G)),RΩ汇总!G:G,0))</f>
        <v>#N/A</v>
      </c>
      <c r="H57" s="4">
        <f>RΩ汇总!H56</f>
        <v>0</v>
      </c>
      <c r="I57" s="2" cm="1">
        <f t="array" ref="I57">RΩ汇总!I56-INDEX(RΩ汇总!I:I,MATCH(MIN(IF(RΩ汇总!J:J&gt;0,RΩ汇总!J:J)),RΩ汇总!J:J,0))</f>
        <v>0.13983279675696941</v>
      </c>
      <c r="J57" s="2">
        <v>1.2173625284382308E-2</v>
      </c>
      <c r="K57" s="2" t="e" cm="1">
        <f t="array" ref="K57">RΩ汇总!K56-INDEX(RΩ汇总!K:K,MATCH(MIN(IF(RΩ汇总!K:K&gt;0,RΩ汇总!K:K)),RΩ汇总!K:K,0))</f>
        <v>#N/A</v>
      </c>
      <c r="L57" s="2">
        <f>RΩ汇总!L56</f>
        <v>0</v>
      </c>
      <c r="M57" s="1" cm="1">
        <f t="array" ref="M57">RΩ汇总!M56-INDEX(RΩ汇总!M:M,MATCH(MIN(IF(RΩ汇总!N:N&gt;0,RΩ汇总!N:N)),RΩ汇总!N:N,0))</f>
        <v>0.24338709564453964</v>
      </c>
      <c r="N57" s="1">
        <v>2.2280046072803289E-2</v>
      </c>
      <c r="O57" s="1" t="e" cm="1">
        <f t="array" ref="O57">RΩ汇总!O56-INDEX(RΩ汇总!O:O,MATCH(MIN(IF(RΩ汇总!O:O&gt;0,RΩ汇总!O:O)),RΩ汇总!O:O,0))</f>
        <v>#N/A</v>
      </c>
      <c r="P57" s="1">
        <f>RΩ汇总!P56</f>
        <v>0</v>
      </c>
    </row>
    <row r="58" spans="1:16" x14ac:dyDescent="0.2">
      <c r="A58" s="3" cm="1">
        <f t="array" ref="A58">RΩ汇总!A57-INDEX(RΩ汇总!A:A,MATCH(MIN(IF(RΩ汇总!B:B&gt;0,RΩ汇总!B:B)),RΩ汇总!B:B,0))</f>
        <v>6.9200571549599299E-2</v>
      </c>
      <c r="B58" s="3">
        <v>6.3000577472217822E-3</v>
      </c>
      <c r="C58" s="3" t="e" cm="1">
        <f t="array" ref="C58">RΩ汇总!C57-INDEX(RΩ汇总!C:C,MATCH(MIN(IF(RΩ汇总!D:D&gt;0,RΩ汇总!D:D)),RΩ汇总!D:D,0))</f>
        <v>#N/A</v>
      </c>
      <c r="D58" s="3">
        <f>RΩ汇总!D57</f>
        <v>0</v>
      </c>
      <c r="E58" s="4" cm="1">
        <f t="array" ref="E58">RΩ汇总!E57-INDEX(RΩ汇总!E:E,MATCH(MIN(IF(RΩ汇总!F:F&gt;0,RΩ汇总!F:F)),RΩ汇总!F:F,0))</f>
        <v>0.1202244512949561</v>
      </c>
      <c r="F58" s="4">
        <v>9.373753018429418E-3</v>
      </c>
      <c r="G58" s="4" t="e" cm="1">
        <f t="array" ref="G58">RΩ汇总!G57-INDEX(RΩ汇总!G:G,MATCH(MIN(IF(RΩ汇总!G:G&gt;0,RΩ汇总!G:G)),RΩ汇总!G:G,0))</f>
        <v>#N/A</v>
      </c>
      <c r="H58" s="4">
        <f>RΩ汇总!H57</f>
        <v>0</v>
      </c>
      <c r="I58" s="2" cm="1">
        <f t="array" ref="I58">RΩ汇总!I57-INDEX(RΩ汇总!I:I,MATCH(MIN(IF(RΩ汇总!J:J&gt;0,RΩ汇总!J:J)),RΩ汇总!J:J,0))</f>
        <v>0.14168685500336947</v>
      </c>
      <c r="J58" s="2">
        <v>1.012861715355699E-2</v>
      </c>
      <c r="K58" s="2" t="e" cm="1">
        <f t="array" ref="K58">RΩ汇总!K57-INDEX(RΩ汇总!K:K,MATCH(MIN(IF(RΩ汇总!K:K&gt;0,RΩ汇总!K:K)),RΩ汇总!K:K,0))</f>
        <v>#N/A</v>
      </c>
      <c r="L58" s="2">
        <f>RΩ汇总!L57</f>
        <v>0</v>
      </c>
      <c r="M58" s="1" cm="1">
        <f t="array" ref="M58">RΩ汇总!M57-INDEX(RΩ汇总!M:M,MATCH(MIN(IF(RΩ汇总!N:N&gt;0,RΩ汇总!N:N)),RΩ汇总!N:N,0))</f>
        <v>0.24881477048991618</v>
      </c>
      <c r="N58" s="1">
        <v>1.8283019709731431E-2</v>
      </c>
      <c r="O58" s="1" t="e" cm="1">
        <f t="array" ref="O58">RΩ汇总!O57-INDEX(RΩ汇总!O:O,MATCH(MIN(IF(RΩ汇总!O:O&gt;0,RΩ汇总!O:O)),RΩ汇总!O:O,0))</f>
        <v>#N/A</v>
      </c>
      <c r="P58" s="1">
        <f>RΩ汇总!P57</f>
        <v>0</v>
      </c>
    </row>
    <row r="59" spans="1:16" x14ac:dyDescent="0.2">
      <c r="A59" s="3" cm="1">
        <f t="array" ref="A59">RΩ汇总!A58-INDEX(RΩ汇总!A:A,MATCH(MIN(IF(RΩ汇总!B:B&gt;0,RΩ汇总!B:B)),RΩ汇总!B:B,0))</f>
        <v>6.8531206829530511E-2</v>
      </c>
      <c r="B59" s="3">
        <v>4.0227810941542335E-3</v>
      </c>
      <c r="C59" s="3" t="e" cm="1">
        <f t="array" ref="C59">RΩ汇总!C58-INDEX(RΩ汇总!C:C,MATCH(MIN(IF(RΩ汇总!D:D&gt;0,RΩ汇总!D:D)),RΩ汇总!D:D,0))</f>
        <v>#N/A</v>
      </c>
      <c r="D59" s="3">
        <f>RΩ汇总!D58</f>
        <v>0</v>
      </c>
      <c r="E59" s="4" cm="1">
        <f t="array" ref="E59">RΩ汇总!E58-INDEX(RΩ汇总!E:E,MATCH(MIN(IF(RΩ汇总!F:F&gt;0,RΩ汇总!F:F)),RΩ汇总!F:F,0))</f>
        <v>0.12071042570855459</v>
      </c>
      <c r="F59" s="4">
        <v>6.8867318747445659E-3</v>
      </c>
      <c r="G59" s="4" t="e" cm="1">
        <f t="array" ref="G59">RΩ汇总!G58-INDEX(RΩ汇总!G:G,MATCH(MIN(IF(RΩ汇总!G:G&gt;0,RΩ汇总!G:G)),RΩ汇总!G:G,0))</f>
        <v>#N/A</v>
      </c>
      <c r="H59" s="4">
        <f>RΩ汇总!H58</f>
        <v>0</v>
      </c>
      <c r="I59" s="2" cm="1">
        <f t="array" ref="I59">RΩ汇总!I58-INDEX(RΩ汇总!I:I,MATCH(MIN(IF(RΩ汇总!J:J&gt;0,RΩ汇总!J:J)),RΩ汇总!J:J,0))</f>
        <v>0.14263636587222761</v>
      </c>
      <c r="J59" s="2">
        <v>7.8068844340722175E-3</v>
      </c>
      <c r="K59" s="2" t="e" cm="1">
        <f t="array" ref="K59">RΩ汇总!K58-INDEX(RΩ汇总!K:K,MATCH(MIN(IF(RΩ汇总!K:K&gt;0,RΩ汇总!K:K)),RΩ汇总!K:K,0))</f>
        <v>#N/A</v>
      </c>
      <c r="L59" s="2">
        <f>RΩ汇总!L58</f>
        <v>0</v>
      </c>
      <c r="M59" s="1" cm="1">
        <f t="array" ref="M59">RΩ汇总!M58-INDEX(RΩ汇总!M:M,MATCH(MIN(IF(RΩ汇总!N:N&gt;0,RΩ汇总!N:N)),RΩ汇总!N:N,0))</f>
        <v>0.25336580263030739</v>
      </c>
      <c r="N59" s="1">
        <v>1.6493556456095324E-2</v>
      </c>
      <c r="O59" s="1" t="e" cm="1">
        <f t="array" ref="O59">RΩ汇总!O58-INDEX(RΩ汇总!O:O,MATCH(MIN(IF(RΩ汇总!O:O&gt;0,RΩ汇总!O:O)),RΩ汇总!O:O,0))</f>
        <v>#N/A</v>
      </c>
      <c r="P59" s="1">
        <f>RΩ汇总!P58</f>
        <v>0</v>
      </c>
    </row>
    <row r="60" spans="1:16" x14ac:dyDescent="0.2">
      <c r="A60" s="3" cm="1">
        <f t="array" ref="A60">RΩ汇总!A59-INDEX(RΩ汇总!A:A,MATCH(MIN(IF(RΩ汇总!B:B&gt;0,RΩ汇总!B:B)),RΩ汇总!B:B,0))</f>
        <v>6.9277075324022441E-2</v>
      </c>
      <c r="B60" s="3">
        <v>2.9433062346290177E-3</v>
      </c>
      <c r="C60" s="3" t="e" cm="1">
        <f t="array" ref="C60">RΩ汇总!C59-INDEX(RΩ汇总!C:C,MATCH(MIN(IF(RΩ汇总!D:D&gt;0,RΩ汇总!D:D)),RΩ汇总!D:D,0))</f>
        <v>#N/A</v>
      </c>
      <c r="D60" s="3">
        <f>RΩ汇总!D59</f>
        <v>0</v>
      </c>
      <c r="E60" s="4" cm="1">
        <f t="array" ref="E60">RΩ汇总!E59-INDEX(RΩ汇总!E:E,MATCH(MIN(IF(RΩ汇总!F:F&gt;0,RΩ汇总!F:F)),RΩ汇总!F:F,0))</f>
        <v>0.11974197919571242</v>
      </c>
      <c r="F60" s="4">
        <v>5.8422963695422764E-3</v>
      </c>
      <c r="G60" s="4" t="e" cm="1">
        <f t="array" ref="G60">RΩ汇总!G59-INDEX(RΩ汇总!G:G,MATCH(MIN(IF(RΩ汇总!G:G&gt;0,RΩ汇总!G:G)),RΩ汇总!G:G,0))</f>
        <v>#N/A</v>
      </c>
      <c r="H60" s="4">
        <f>RΩ汇总!H59</f>
        <v>0</v>
      </c>
      <c r="I60" s="2" cm="1">
        <f t="array" ref="I60">RΩ汇总!I59-INDEX(RΩ汇总!I:I,MATCH(MIN(IF(RΩ汇总!J:J&gt;0,RΩ汇总!J:J)),RΩ汇总!J:J,0))</f>
        <v>0.14487599905678872</v>
      </c>
      <c r="J60" s="2">
        <v>6.7126667146580913E-3</v>
      </c>
      <c r="K60" s="2" t="e" cm="1">
        <f t="array" ref="K60">RΩ汇总!K59-INDEX(RΩ汇总!K:K,MATCH(MIN(IF(RΩ汇总!K:K&gt;0,RΩ汇总!K:K)),RΩ汇总!K:K,0))</f>
        <v>#N/A</v>
      </c>
      <c r="L60" s="2">
        <f>RΩ汇总!L59</f>
        <v>0</v>
      </c>
      <c r="M60" s="1" cm="1">
        <f t="array" ref="M60">RΩ汇总!M59-INDEX(RΩ汇总!M:M,MATCH(MIN(IF(RΩ汇总!N:N&gt;0,RΩ汇总!N:N)),RΩ汇总!N:N,0))</f>
        <v>0.25819557052509901</v>
      </c>
      <c r="N60" s="1">
        <v>1.4004393374166714E-2</v>
      </c>
      <c r="O60" s="1" t="e" cm="1">
        <f t="array" ref="O60">RΩ汇总!O59-INDEX(RΩ汇总!O:O,MATCH(MIN(IF(RΩ汇总!O:O&gt;0,RΩ汇总!O:O)),RΩ汇总!O:O,0))</f>
        <v>#N/A</v>
      </c>
      <c r="P60" s="1">
        <f>RΩ汇总!P59</f>
        <v>0</v>
      </c>
    </row>
    <row r="61" spans="1:16" x14ac:dyDescent="0.2">
      <c r="A61" s="3" cm="1">
        <f t="array" ref="A61">RΩ汇总!A60-INDEX(RΩ汇总!A:A,MATCH(MIN(IF(RΩ汇总!B:B&gt;0,RΩ汇总!B:B)),RΩ汇总!B:B,0))</f>
        <v>6.9569342001203544E-2</v>
      </c>
      <c r="B61" s="3">
        <v>2.1725881794524208E-3</v>
      </c>
      <c r="C61" s="3" t="e" cm="1">
        <f t="array" ref="C61">RΩ汇总!C60-INDEX(RΩ汇总!C:C,MATCH(MIN(IF(RΩ汇总!D:D&gt;0,RΩ汇总!D:D)),RΩ汇总!D:D,0))</f>
        <v>#N/A</v>
      </c>
      <c r="D61" s="3">
        <f>RΩ汇总!D60</f>
        <v>0</v>
      </c>
      <c r="E61" s="4" cm="1">
        <f t="array" ref="E61">RΩ汇总!E60-INDEX(RΩ汇总!E:E,MATCH(MIN(IF(RΩ汇总!F:F&gt;0,RΩ汇总!F:F)),RΩ汇总!F:F,0))</f>
        <v>0.11993243606633772</v>
      </c>
      <c r="F61" s="4">
        <v>4.5705651553010181E-3</v>
      </c>
      <c r="G61" s="4" t="e" cm="1">
        <f t="array" ref="G61">RΩ汇总!G60-INDEX(RΩ汇总!G:G,MATCH(MIN(IF(RΩ汇总!G:G&gt;0,RΩ汇总!G:G)),RΩ汇总!G:G,0))</f>
        <v>#N/A</v>
      </c>
      <c r="H61" s="4">
        <f>RΩ汇总!H60</f>
        <v>0</v>
      </c>
      <c r="I61" s="2" cm="1">
        <f t="array" ref="I61">RΩ汇总!I60-INDEX(RΩ汇总!I:I,MATCH(MIN(IF(RΩ汇总!J:J&gt;0,RΩ汇总!J:J)),RΩ汇总!J:J,0))</f>
        <v>0.14757016429831199</v>
      </c>
      <c r="J61" s="2">
        <v>3.3339039536536474E-3</v>
      </c>
      <c r="K61" s="2" t="e" cm="1">
        <f t="array" ref="K61">RΩ汇总!K60-INDEX(RΩ汇总!K:K,MATCH(MIN(IF(RΩ汇总!K:K&gt;0,RΩ汇总!K:K)),RΩ汇总!K:K,0))</f>
        <v>#N/A</v>
      </c>
      <c r="L61" s="2">
        <f>RΩ汇总!L60</f>
        <v>0</v>
      </c>
      <c r="M61" s="1" cm="1">
        <f t="array" ref="M61">RΩ汇总!M60-INDEX(RΩ汇总!M:M,MATCH(MIN(IF(RΩ汇总!N:N&gt;0,RΩ汇总!N:N)),RΩ汇总!N:N,0))</f>
        <v>0.26210450442767974</v>
      </c>
      <c r="N61" s="1">
        <v>1.0510032281718059E-2</v>
      </c>
      <c r="O61" s="1" t="e" cm="1">
        <f t="array" ref="O61">RΩ汇总!O60-INDEX(RΩ汇总!O:O,MATCH(MIN(IF(RΩ汇总!O:O&gt;0,RΩ汇总!O:O)),RΩ汇总!O:O,0))</f>
        <v>#N/A</v>
      </c>
      <c r="P61" s="1">
        <f>RΩ汇总!P60</f>
        <v>0</v>
      </c>
    </row>
    <row r="62" spans="1:16" x14ac:dyDescent="0.2">
      <c r="A62" s="3" cm="1">
        <f t="array" ref="A62">RΩ汇总!A61-INDEX(RΩ汇总!A:A,MATCH(MIN(IF(RΩ汇总!B:B&gt;0,RΩ汇总!B:B)),RΩ汇总!B:B,0))</f>
        <v>6.8156809210452779E-2</v>
      </c>
      <c r="B62" s="3">
        <v>2.5237642587033577E-3</v>
      </c>
      <c r="C62" s="3" t="e" cm="1">
        <f t="array" ref="C62">RΩ汇总!C61-INDEX(RΩ汇总!C:C,MATCH(MIN(IF(RΩ汇总!D:D&gt;0,RΩ汇总!D:D)),RΩ汇总!D:D,0))</f>
        <v>#N/A</v>
      </c>
      <c r="D62" s="3">
        <f>RΩ汇总!D61</f>
        <v>0</v>
      </c>
      <c r="E62" s="4" cm="1">
        <f t="array" ref="E62">RΩ汇总!E61-INDEX(RΩ汇总!E:E,MATCH(MIN(IF(RΩ汇总!F:F&gt;0,RΩ汇总!F:F)),RΩ汇总!F:F,0))</f>
        <v>0.11873484997300668</v>
      </c>
      <c r="F62" s="4">
        <v>2.1025399323335121E-3</v>
      </c>
      <c r="G62" s="4" t="e" cm="1">
        <f t="array" ref="G62">RΩ汇总!G61-INDEX(RΩ汇总!G:G,MATCH(MIN(IF(RΩ汇总!G:G&gt;0,RΩ汇总!G:G)),RΩ汇总!G:G,0))</f>
        <v>#N/A</v>
      </c>
      <c r="H62" s="4">
        <f>RΩ汇总!H61</f>
        <v>0</v>
      </c>
      <c r="I62" s="2" cm="1">
        <f t="array" ref="I62">RΩ汇总!I61-INDEX(RΩ汇总!I:I,MATCH(MIN(IF(RΩ汇总!J:J&gt;0,RΩ汇总!J:J)),RΩ汇总!J:J,0))</f>
        <v>0.14883246696730101</v>
      </c>
      <c r="J62" s="2">
        <v>3.6353089520550913E-3</v>
      </c>
      <c r="K62" s="2" t="e" cm="1">
        <f t="array" ref="K62">RΩ汇总!K61-INDEX(RΩ汇总!K:K,MATCH(MIN(IF(RΩ汇总!K:K&gt;0,RΩ汇总!K:K)),RΩ汇总!K:K,0))</f>
        <v>#N/A</v>
      </c>
      <c r="L62" s="2">
        <f>RΩ汇总!L61</f>
        <v>0</v>
      </c>
      <c r="M62" s="1" cm="1">
        <f t="array" ref="M62">RΩ汇总!M61-INDEX(RΩ汇总!M:M,MATCH(MIN(IF(RΩ汇总!N:N&gt;0,RΩ汇总!N:N)),RΩ汇总!N:N,0))</f>
        <v>0.26220044061637382</v>
      </c>
      <c r="N62" s="1">
        <v>9.1506244749001917E-3</v>
      </c>
      <c r="O62" s="1" t="e" cm="1">
        <f t="array" ref="O62">RΩ汇总!O61-INDEX(RΩ汇总!O:O,MATCH(MIN(IF(RΩ汇总!O:O&gt;0,RΩ汇总!O:O)),RΩ汇总!O:O,0))</f>
        <v>#N/A</v>
      </c>
      <c r="P62" s="1">
        <f>RΩ汇总!P61</f>
        <v>0</v>
      </c>
    </row>
    <row r="63" spans="1:16" x14ac:dyDescent="0.2">
      <c r="A63" s="3" cm="1">
        <f t="array" ref="A63">RΩ汇总!A62-INDEX(RΩ汇总!A:A,MATCH(MIN(IF(RΩ汇总!B:B&gt;0,RΩ汇总!B:B)),RΩ汇总!B:B,0))</f>
        <v>6.7805360824724076E-2</v>
      </c>
      <c r="B63" s="3">
        <v>2.5208242541959066E-3</v>
      </c>
      <c r="C63" s="3" t="e" cm="1">
        <f t="array" ref="C63">RΩ汇总!C62-INDEX(RΩ汇总!C:C,MATCH(MIN(IF(RΩ汇总!D:D&gt;0,RΩ汇总!D:D)),RΩ汇总!D:D,0))</f>
        <v>#N/A</v>
      </c>
      <c r="D63" s="3">
        <f>RΩ汇总!D62</f>
        <v>0</v>
      </c>
      <c r="E63" s="4" cm="1">
        <f t="array" ref="E63">RΩ汇总!E62-INDEX(RΩ汇总!E:E,MATCH(MIN(IF(RΩ汇总!F:F&gt;0,RΩ汇总!F:F)),RΩ汇总!F:F,0))</f>
        <v>0.11926884656297546</v>
      </c>
      <c r="F63" s="4">
        <v>2.4416251806500121E-3</v>
      </c>
      <c r="G63" s="4" t="e" cm="1">
        <f t="array" ref="G63">RΩ汇总!G62-INDEX(RΩ汇总!G:G,MATCH(MIN(IF(RΩ汇总!G:G&gt;0,RΩ汇总!G:G)),RΩ汇总!G:G,0))</f>
        <v>#N/A</v>
      </c>
      <c r="H63" s="4">
        <f>RΩ汇总!H62</f>
        <v>0</v>
      </c>
      <c r="I63" s="2" cm="1">
        <f t="array" ref="I63">RΩ汇总!I62-INDEX(RΩ汇总!I:I,MATCH(MIN(IF(RΩ汇总!J:J&gt;0,RΩ汇总!J:J)),RΩ汇总!J:J,0))</f>
        <v>0.15091375374180893</v>
      </c>
      <c r="J63" s="2">
        <v>3.2038230239776182E-3</v>
      </c>
      <c r="K63" s="2" t="e" cm="1">
        <f t="array" ref="K63">RΩ汇总!K62-INDEX(RΩ汇总!K:K,MATCH(MIN(IF(RΩ汇总!K:K&gt;0,RΩ汇总!K:K)),RΩ汇总!K:K,0))</f>
        <v>#N/A</v>
      </c>
      <c r="L63" s="2">
        <f>RΩ汇总!L62</f>
        <v>0</v>
      </c>
      <c r="M63" s="1" cm="1">
        <f t="array" ref="M63">RΩ汇总!M62-INDEX(RΩ汇总!M:M,MATCH(MIN(IF(RΩ汇总!N:N&gt;0,RΩ汇总!N:N)),RΩ汇总!N:N,0))</f>
        <v>0.26943127127136313</v>
      </c>
      <c r="N63" s="1">
        <v>6.0156076415152733E-3</v>
      </c>
      <c r="O63" s="1" t="e" cm="1">
        <f t="array" ref="O63">RΩ汇总!O62-INDEX(RΩ汇总!O:O,MATCH(MIN(IF(RΩ汇总!O:O&gt;0,RΩ汇总!O:O)),RΩ汇总!O:O,0))</f>
        <v>#N/A</v>
      </c>
      <c r="P63" s="1">
        <f>RΩ汇总!P62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8DB7-C65A-40E5-8137-21FA6365C48B}">
  <dimension ref="A1:H2"/>
  <sheetViews>
    <sheetView tabSelected="1" workbookViewId="0">
      <selection activeCell="H6" sqref="H6"/>
    </sheetView>
  </sheetViews>
  <sheetFormatPr defaultRowHeight="14.25" x14ac:dyDescent="0.2"/>
  <cols>
    <col min="1" max="2" width="9" style="6"/>
    <col min="3" max="4" width="9" style="4"/>
    <col min="5" max="6" width="9" style="2"/>
    <col min="7" max="8" width="9" style="1"/>
  </cols>
  <sheetData>
    <row r="1" spans="1:8" x14ac:dyDescent="0.2">
      <c r="A1" s="3" t="s">
        <v>5</v>
      </c>
      <c r="C1" s="4" t="s">
        <v>7</v>
      </c>
      <c r="E1" s="2" t="s">
        <v>9</v>
      </c>
      <c r="G1" s="1" t="s">
        <v>10</v>
      </c>
    </row>
    <row r="2" spans="1:8" x14ac:dyDescent="0.2">
      <c r="A2" s="6" t="s">
        <v>16</v>
      </c>
      <c r="B2" s="6" t="s">
        <v>17</v>
      </c>
      <c r="C2" s="7" t="s">
        <v>18</v>
      </c>
      <c r="D2" s="7" t="s">
        <v>17</v>
      </c>
      <c r="E2" s="8" t="s">
        <v>18</v>
      </c>
      <c r="F2" s="8" t="s">
        <v>17</v>
      </c>
      <c r="G2" s="9" t="s">
        <v>18</v>
      </c>
      <c r="H2" s="9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62"/>
  <sheetViews>
    <sheetView workbookViewId="0">
      <selection activeCell="F19" sqref="F19"/>
    </sheetView>
  </sheetViews>
  <sheetFormatPr defaultRowHeight="14.25" x14ac:dyDescent="0.2"/>
  <cols>
    <col min="2" max="3" width="12.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100000</v>
      </c>
      <c r="B2">
        <v>0.76665583743753096</v>
      </c>
      <c r="C2">
        <v>1.2901452458618601</v>
      </c>
    </row>
    <row r="3" spans="1:3" x14ac:dyDescent="0.2">
      <c r="A3">
        <v>79432.8203125</v>
      </c>
      <c r="B3">
        <v>0.76658346539230604</v>
      </c>
      <c r="C3">
        <v>1.02511479306752</v>
      </c>
    </row>
    <row r="4" spans="1:3" x14ac:dyDescent="0.2">
      <c r="A4">
        <v>63095.734375</v>
      </c>
      <c r="B4">
        <v>0.77143580778110998</v>
      </c>
      <c r="C4">
        <v>0.81442583262343804</v>
      </c>
    </row>
    <row r="5" spans="1:3" x14ac:dyDescent="0.2">
      <c r="A5">
        <v>50118.72265625</v>
      </c>
      <c r="B5">
        <v>0.77134643067386599</v>
      </c>
      <c r="C5">
        <v>0.64694308352867202</v>
      </c>
    </row>
    <row r="6" spans="1:3" x14ac:dyDescent="0.2">
      <c r="A6">
        <v>39810.71875</v>
      </c>
      <c r="B6">
        <v>0.77645981454389301</v>
      </c>
      <c r="C6">
        <v>0.50354086298057799</v>
      </c>
    </row>
    <row r="7" spans="1:3" x14ac:dyDescent="0.2">
      <c r="A7">
        <v>31622.77734375</v>
      </c>
      <c r="B7">
        <v>0.776071204816147</v>
      </c>
      <c r="C7">
        <v>0.39905528540616197</v>
      </c>
    </row>
    <row r="8" spans="1:3" x14ac:dyDescent="0.2">
      <c r="A8">
        <v>25118.865234375</v>
      </c>
      <c r="B8">
        <v>0.77428031147535703</v>
      </c>
      <c r="C8">
        <v>0.31456633766140402</v>
      </c>
    </row>
    <row r="9" spans="1:3" x14ac:dyDescent="0.2">
      <c r="A9">
        <v>19952.623046875</v>
      </c>
      <c r="B9">
        <v>0.77529871314524701</v>
      </c>
      <c r="C9">
        <v>0.248397471038797</v>
      </c>
    </row>
    <row r="10" spans="1:3" x14ac:dyDescent="0.2">
      <c r="A10">
        <v>15848.931640625</v>
      </c>
      <c r="B10">
        <v>0.77547792792116299</v>
      </c>
      <c r="C10">
        <v>0.19442166700467101</v>
      </c>
    </row>
    <row r="11" spans="1:3" x14ac:dyDescent="0.2">
      <c r="A11">
        <v>12589.25390625</v>
      </c>
      <c r="B11">
        <v>0.77588170874917595</v>
      </c>
      <c r="C11">
        <v>0.154391509972861</v>
      </c>
    </row>
    <row r="12" spans="1:3" x14ac:dyDescent="0.2">
      <c r="A12">
        <v>10000</v>
      </c>
      <c r="B12">
        <v>0.77772334429776602</v>
      </c>
      <c r="C12">
        <v>0.1234952437176</v>
      </c>
    </row>
    <row r="13" spans="1:3" x14ac:dyDescent="0.2">
      <c r="A13">
        <v>7943.2822265625</v>
      </c>
      <c r="B13">
        <v>0.77843621042516098</v>
      </c>
      <c r="C13">
        <v>9.2698144232161994E-2</v>
      </c>
    </row>
    <row r="14" spans="1:3" x14ac:dyDescent="0.2">
      <c r="A14">
        <v>6309.5732421875</v>
      </c>
      <c r="B14">
        <v>0.78044235813874696</v>
      </c>
      <c r="C14">
        <v>7.0896220647123601E-2</v>
      </c>
    </row>
    <row r="15" spans="1:3" x14ac:dyDescent="0.2">
      <c r="A15">
        <v>5011.87255859375</v>
      </c>
      <c r="B15">
        <v>0.780793507458305</v>
      </c>
      <c r="C15">
        <v>5.1021906828258301E-2</v>
      </c>
    </row>
    <row r="16" spans="1:3" x14ac:dyDescent="0.2">
      <c r="A16">
        <v>3981.07177734375</v>
      </c>
      <c r="B16">
        <v>0.78231067270587296</v>
      </c>
      <c r="C16">
        <v>3.5651735954786802E-2</v>
      </c>
    </row>
    <row r="17" spans="1:3" x14ac:dyDescent="0.2">
      <c r="A17">
        <v>3162.27758789063</v>
      </c>
      <c r="B17">
        <v>0.78467514064197397</v>
      </c>
      <c r="C17">
        <v>2.3238544140832401E-2</v>
      </c>
    </row>
    <row r="18" spans="1:3" x14ac:dyDescent="0.2">
      <c r="A18">
        <v>2511.88647460938</v>
      </c>
      <c r="B18">
        <v>0.78731886799208795</v>
      </c>
      <c r="C18">
        <v>1.2316282804906001E-2</v>
      </c>
    </row>
    <row r="19" spans="1:3" x14ac:dyDescent="0.2">
      <c r="A19">
        <v>1995.26232910156</v>
      </c>
      <c r="B19">
        <v>0.78974709957452005</v>
      </c>
      <c r="C19">
        <v>3.43423958196895E-3</v>
      </c>
    </row>
    <row r="20" spans="1:3" x14ac:dyDescent="0.2">
      <c r="A20">
        <v>1584.89318847656</v>
      </c>
      <c r="B20">
        <v>0.79323214039432999</v>
      </c>
      <c r="C20">
        <v>-5.0626283307883902E-3</v>
      </c>
    </row>
    <row r="21" spans="1:3" x14ac:dyDescent="0.2">
      <c r="A21">
        <v>1258.92541503906</v>
      </c>
      <c r="B21">
        <v>0.79719354571503398</v>
      </c>
      <c r="C21">
        <v>-1.19885440207713E-2</v>
      </c>
    </row>
    <row r="22" spans="1:3" x14ac:dyDescent="0.2">
      <c r="A22">
        <v>1000</v>
      </c>
      <c r="B22">
        <v>0.80152109208410804</v>
      </c>
      <c r="C22">
        <v>-1.8305933629214701E-2</v>
      </c>
    </row>
    <row r="23" spans="1:3" x14ac:dyDescent="0.2">
      <c r="A23">
        <v>794.32824707031295</v>
      </c>
      <c r="B23">
        <v>0.805830808980457</v>
      </c>
      <c r="C23">
        <v>-2.3822316410336001E-2</v>
      </c>
    </row>
    <row r="24" spans="1:3" x14ac:dyDescent="0.2">
      <c r="A24">
        <v>630.95733642578102</v>
      </c>
      <c r="B24">
        <v>0.81114067377848997</v>
      </c>
      <c r="C24">
        <v>-2.8887861080911899E-2</v>
      </c>
    </row>
    <row r="25" spans="1:3" x14ac:dyDescent="0.2">
      <c r="A25">
        <v>501.18722534179699</v>
      </c>
      <c r="B25">
        <v>0.81618828714608505</v>
      </c>
      <c r="C25">
        <v>-3.3188118954181701E-2</v>
      </c>
    </row>
    <row r="26" spans="1:3" x14ac:dyDescent="0.2">
      <c r="A26">
        <v>398.107177734375</v>
      </c>
      <c r="B26">
        <v>0.82306005756395795</v>
      </c>
      <c r="C26">
        <v>-3.7248892995505697E-2</v>
      </c>
    </row>
    <row r="27" spans="1:3" x14ac:dyDescent="0.2">
      <c r="A27">
        <v>316.22775268554699</v>
      </c>
      <c r="B27">
        <v>0.82974437491089403</v>
      </c>
      <c r="C27">
        <v>-4.1744749053646599E-2</v>
      </c>
    </row>
    <row r="28" spans="1:3" x14ac:dyDescent="0.2">
      <c r="A28">
        <v>251.18864440918</v>
      </c>
      <c r="B28">
        <v>0.83664553750314896</v>
      </c>
      <c r="C28">
        <v>-4.4872350766387702E-2</v>
      </c>
    </row>
    <row r="29" spans="1:3" x14ac:dyDescent="0.2">
      <c r="A29">
        <v>199.52622985839801</v>
      </c>
      <c r="B29">
        <v>0.844095512627421</v>
      </c>
      <c r="C29">
        <v>-4.7400031974623898E-2</v>
      </c>
    </row>
    <row r="30" spans="1:3" x14ac:dyDescent="0.2">
      <c r="A30">
        <v>158.48931884765599</v>
      </c>
      <c r="B30">
        <v>0.85231562980357201</v>
      </c>
      <c r="C30">
        <v>-5.2004612674688103E-2</v>
      </c>
    </row>
    <row r="31" spans="1:3" x14ac:dyDescent="0.2">
      <c r="A31">
        <v>125.892539978027</v>
      </c>
      <c r="B31">
        <v>0.86031785632380897</v>
      </c>
      <c r="C31">
        <v>-5.5235170872433299E-2</v>
      </c>
    </row>
    <row r="32" spans="1:3" x14ac:dyDescent="0.2">
      <c r="A32">
        <v>100</v>
      </c>
      <c r="B32">
        <v>0.87114265730199103</v>
      </c>
      <c r="C32">
        <v>-5.8413752363766003E-2</v>
      </c>
    </row>
    <row r="33" spans="1:3" x14ac:dyDescent="0.2">
      <c r="A33">
        <v>79.432823181152301</v>
      </c>
      <c r="B33">
        <v>0.87974234833223797</v>
      </c>
      <c r="C33">
        <v>-6.1619779879921302E-2</v>
      </c>
    </row>
    <row r="34" spans="1:3" x14ac:dyDescent="0.2">
      <c r="A34">
        <v>63.095733642578097</v>
      </c>
      <c r="B34">
        <v>0.88625094345275202</v>
      </c>
      <c r="C34">
        <v>-6.2656034433405505E-2</v>
      </c>
    </row>
    <row r="35" spans="1:3" x14ac:dyDescent="0.2">
      <c r="A35">
        <v>50.118724822997997</v>
      </c>
      <c r="B35">
        <v>0.89621852640388699</v>
      </c>
      <c r="C35">
        <v>-6.7737348892772095E-2</v>
      </c>
    </row>
    <row r="36" spans="1:3" x14ac:dyDescent="0.2">
      <c r="A36">
        <v>39.810718536377003</v>
      </c>
      <c r="B36">
        <v>0.90844187244901597</v>
      </c>
      <c r="C36">
        <v>-7.179193247757E-2</v>
      </c>
    </row>
    <row r="37" spans="1:3" x14ac:dyDescent="0.2">
      <c r="A37">
        <v>31.622776031494102</v>
      </c>
      <c r="B37">
        <v>0.92831692261463605</v>
      </c>
      <c r="C37">
        <v>-7.4971136644970196E-2</v>
      </c>
    </row>
    <row r="38" spans="1:3" x14ac:dyDescent="0.2">
      <c r="A38">
        <v>25.1188640594482</v>
      </c>
      <c r="B38">
        <v>0.92747972961374303</v>
      </c>
      <c r="C38">
        <v>-7.9371608931467302E-2</v>
      </c>
    </row>
    <row r="39" spans="1:3" x14ac:dyDescent="0.2">
      <c r="A39">
        <v>19.952623367309599</v>
      </c>
      <c r="B39">
        <v>0.93261760701604801</v>
      </c>
      <c r="C39">
        <v>-6.6559692068579202E-2</v>
      </c>
    </row>
    <row r="40" spans="1:3" x14ac:dyDescent="0.2">
      <c r="A40">
        <v>15.8489322662354</v>
      </c>
      <c r="B40">
        <v>0.94283485081804397</v>
      </c>
      <c r="C40">
        <v>-7.6375552048036505E-2</v>
      </c>
    </row>
    <row r="41" spans="1:3" x14ac:dyDescent="0.2">
      <c r="A41">
        <v>12.5892543792725</v>
      </c>
      <c r="B41">
        <v>0.95284401213537695</v>
      </c>
      <c r="C41">
        <v>-6.8664965053402499E-2</v>
      </c>
    </row>
    <row r="42" spans="1:3" x14ac:dyDescent="0.2">
      <c r="A42">
        <v>10</v>
      </c>
      <c r="B42">
        <v>0.97500660949219897</v>
      </c>
      <c r="C42">
        <v>-7.8381689099017202E-2</v>
      </c>
    </row>
    <row r="43" spans="1:3" x14ac:dyDescent="0.2">
      <c r="A43">
        <v>7.9432821273803702</v>
      </c>
      <c r="B43">
        <v>0.98287994827894098</v>
      </c>
      <c r="C43">
        <v>-7.7070466944687596E-2</v>
      </c>
    </row>
    <row r="44" spans="1:3" x14ac:dyDescent="0.2">
      <c r="A44">
        <v>6.3095736503601101</v>
      </c>
      <c r="B44">
        <v>0.99442173615704399</v>
      </c>
      <c r="C44">
        <v>-7.7158316379634106E-2</v>
      </c>
    </row>
    <row r="45" spans="1:3" x14ac:dyDescent="0.2">
      <c r="A45">
        <v>5.0118722915649396</v>
      </c>
      <c r="B45">
        <v>1.0043117215580499</v>
      </c>
      <c r="C45">
        <v>-7.3975746960197805E-2</v>
      </c>
    </row>
    <row r="46" spans="1:3" x14ac:dyDescent="0.2">
      <c r="A46">
        <v>3.9810717105865501</v>
      </c>
      <c r="B46">
        <v>1.0197975725176001</v>
      </c>
      <c r="C46">
        <v>-7.6984175660780599E-2</v>
      </c>
    </row>
    <row r="47" spans="1:3" x14ac:dyDescent="0.2">
      <c r="A47">
        <v>3.1622776985168501</v>
      </c>
      <c r="B47">
        <v>1.03550216847928</v>
      </c>
      <c r="C47">
        <v>-8.0172691471644603E-2</v>
      </c>
    </row>
    <row r="48" spans="1:3" x14ac:dyDescent="0.2">
      <c r="A48">
        <v>2.5118863582611102</v>
      </c>
      <c r="B48">
        <v>1.0414426046098899</v>
      </c>
      <c r="C48">
        <v>-8.2896770341557402E-2</v>
      </c>
    </row>
    <row r="49" spans="1:3" x14ac:dyDescent="0.2">
      <c r="A49">
        <v>1.99526226520538</v>
      </c>
      <c r="B49">
        <v>1.0599176223968101</v>
      </c>
      <c r="C49">
        <v>-7.6242784706144096E-2</v>
      </c>
    </row>
    <row r="50" spans="1:3" x14ac:dyDescent="0.2">
      <c r="A50">
        <v>1.58489322662354</v>
      </c>
      <c r="B50">
        <v>1.0797767823050299</v>
      </c>
      <c r="C50">
        <v>-7.7676933489536207E-2</v>
      </c>
    </row>
    <row r="51" spans="1:3" x14ac:dyDescent="0.2">
      <c r="A51">
        <v>1.2589254379272501</v>
      </c>
      <c r="B51">
        <v>1.0894561889991501</v>
      </c>
      <c r="C51">
        <v>-7.4814260939272806E-2</v>
      </c>
    </row>
    <row r="52" spans="1:3" x14ac:dyDescent="0.2">
      <c r="A52">
        <v>1</v>
      </c>
      <c r="B52">
        <v>1.1054358722491</v>
      </c>
      <c r="C52">
        <v>-6.7555167413937994E-2</v>
      </c>
    </row>
    <row r="53" spans="1:3" x14ac:dyDescent="0.2">
      <c r="A53">
        <v>0.794328212738037</v>
      </c>
      <c r="B53">
        <v>1.1173099819486201</v>
      </c>
      <c r="C53">
        <v>-5.7900839173841701E-2</v>
      </c>
    </row>
    <row r="54" spans="1:3" x14ac:dyDescent="0.2">
      <c r="A54">
        <v>0.63095736503601096</v>
      </c>
      <c r="B54">
        <v>1.1198887586313999</v>
      </c>
      <c r="C54">
        <v>-5.3829231382270103E-2</v>
      </c>
    </row>
    <row r="55" spans="1:3" x14ac:dyDescent="0.2">
      <c r="A55">
        <v>0.50118720531463601</v>
      </c>
      <c r="B55">
        <v>1.1238746695564299</v>
      </c>
      <c r="C55">
        <v>-4.5479190703461E-2</v>
      </c>
    </row>
    <row r="56" spans="1:3" x14ac:dyDescent="0.2">
      <c r="A56">
        <v>0.39810717105865501</v>
      </c>
      <c r="B56">
        <v>1.1334766778715899</v>
      </c>
      <c r="C56">
        <v>-3.7725166640951102E-2</v>
      </c>
    </row>
    <row r="57" spans="1:3" x14ac:dyDescent="0.2">
      <c r="A57">
        <v>0.31622776389121998</v>
      </c>
      <c r="B57">
        <v>1.14629628095351</v>
      </c>
      <c r="C57">
        <v>-3.2143151771539702E-2</v>
      </c>
    </row>
    <row r="58" spans="1:3" x14ac:dyDescent="0.2">
      <c r="A58">
        <v>0.25118863582611101</v>
      </c>
      <c r="B58">
        <v>1.1428811548307101</v>
      </c>
      <c r="C58">
        <v>-2.0524393337521599E-2</v>
      </c>
    </row>
    <row r="59" spans="1:3" x14ac:dyDescent="0.2">
      <c r="A59">
        <v>0.19952623546123499</v>
      </c>
      <c r="B59">
        <v>1.1466866063332199</v>
      </c>
      <c r="C59">
        <v>-1.50168685440256E-2</v>
      </c>
    </row>
    <row r="60" spans="1:3" x14ac:dyDescent="0.2">
      <c r="A60">
        <v>0.15848931670188901</v>
      </c>
      <c r="B60">
        <v>1.1481777628494501</v>
      </c>
      <c r="C60">
        <v>-1.1084633568634801E-2</v>
      </c>
    </row>
    <row r="61" spans="1:3" x14ac:dyDescent="0.2">
      <c r="A61">
        <v>0.125892534852028</v>
      </c>
      <c r="B61">
        <v>1.14097096289664</v>
      </c>
      <c r="C61">
        <v>-1.2876348258690599E-2</v>
      </c>
    </row>
    <row r="62" spans="1:3" x14ac:dyDescent="0.2">
      <c r="A62">
        <v>0.10000000149011599</v>
      </c>
      <c r="B62">
        <v>1.1391778588878201</v>
      </c>
      <c r="C62">
        <v>-1.28613482356934E-2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6370-D636-484B-8C29-D3F6D884DA28}">
  <sheetPr>
    <tabColor rgb="FFFF0000"/>
  </sheetPr>
  <dimension ref="A1:C62"/>
  <sheetViews>
    <sheetView workbookViewId="0">
      <selection sqref="A1:C1048576"/>
    </sheetView>
  </sheetViews>
  <sheetFormatPr defaultRowHeight="14.25" x14ac:dyDescent="0.2"/>
  <sheetData>
    <row r="1" spans="1:3" x14ac:dyDescent="0.2">
      <c r="A1" t="s">
        <v>3</v>
      </c>
      <c r="B1" t="s">
        <v>1</v>
      </c>
      <c r="C1" t="s">
        <v>2</v>
      </c>
    </row>
    <row r="2" spans="1:3" x14ac:dyDescent="0.2">
      <c r="A2">
        <v>100000</v>
      </c>
      <c r="B2">
        <v>1.3234814187141799</v>
      </c>
      <c r="C2">
        <v>1.4237680905535699</v>
      </c>
    </row>
    <row r="3" spans="1:3" x14ac:dyDescent="0.2">
      <c r="A3">
        <v>79432.8203125</v>
      </c>
      <c r="B3">
        <v>0.85143459146086797</v>
      </c>
      <c r="C3">
        <v>1.0209385349010101</v>
      </c>
    </row>
    <row r="4" spans="1:3" x14ac:dyDescent="0.2">
      <c r="A4">
        <v>63095.734375</v>
      </c>
      <c r="B4">
        <v>0.86705996307800803</v>
      </c>
      <c r="C4">
        <v>0.81209255754666798</v>
      </c>
    </row>
    <row r="5" spans="1:3" x14ac:dyDescent="0.2">
      <c r="A5">
        <v>50118.72265625</v>
      </c>
      <c r="B5">
        <v>0.87248844000207604</v>
      </c>
      <c r="C5">
        <v>0.64256717715567702</v>
      </c>
    </row>
    <row r="6" spans="1:3" x14ac:dyDescent="0.2">
      <c r="A6">
        <v>39810.71875</v>
      </c>
      <c r="B6">
        <v>0.87445958896499998</v>
      </c>
      <c r="C6">
        <v>0.51138604790638598</v>
      </c>
    </row>
    <row r="7" spans="1:3" x14ac:dyDescent="0.2">
      <c r="A7">
        <v>31622.77734375</v>
      </c>
      <c r="B7">
        <v>0.87068498608607503</v>
      </c>
      <c r="C7">
        <v>0.402065054832006</v>
      </c>
    </row>
    <row r="8" spans="1:3" x14ac:dyDescent="0.2">
      <c r="A8">
        <v>25118.865234375</v>
      </c>
      <c r="B8">
        <v>0.87341404695480995</v>
      </c>
      <c r="C8">
        <v>0.31553047950538898</v>
      </c>
    </row>
    <row r="9" spans="1:3" x14ac:dyDescent="0.2">
      <c r="A9">
        <v>19952.623046875</v>
      </c>
      <c r="B9">
        <v>0.87341448889662399</v>
      </c>
      <c r="C9">
        <v>0.251069305758372</v>
      </c>
    </row>
    <row r="10" spans="1:3" x14ac:dyDescent="0.2">
      <c r="A10">
        <v>15848.931640625</v>
      </c>
      <c r="B10">
        <v>0.87620187205547195</v>
      </c>
      <c r="C10">
        <v>0.19518350798442699</v>
      </c>
    </row>
    <row r="11" spans="1:3" x14ac:dyDescent="0.2">
      <c r="A11">
        <v>12589.25390625</v>
      </c>
      <c r="B11">
        <v>0.87648626648014605</v>
      </c>
      <c r="C11">
        <v>0.15270793203763999</v>
      </c>
    </row>
    <row r="12" spans="1:3" x14ac:dyDescent="0.2">
      <c r="A12">
        <v>10000</v>
      </c>
      <c r="B12">
        <v>0.87908499443340504</v>
      </c>
      <c r="C12">
        <v>0.12153476796450199</v>
      </c>
    </row>
    <row r="13" spans="1:3" x14ac:dyDescent="0.2">
      <c r="A13">
        <v>7943.2822265625</v>
      </c>
      <c r="B13">
        <v>0.88103483604584498</v>
      </c>
      <c r="C13">
        <v>9.0014252261242905E-2</v>
      </c>
    </row>
    <row r="14" spans="1:3" x14ac:dyDescent="0.2">
      <c r="A14">
        <v>6309.5732421875</v>
      </c>
      <c r="B14">
        <v>0.88237170993809899</v>
      </c>
      <c r="C14">
        <v>6.40597106709795E-2</v>
      </c>
    </row>
    <row r="15" spans="1:3" x14ac:dyDescent="0.2">
      <c r="A15">
        <v>5011.87255859375</v>
      </c>
      <c r="B15">
        <v>0.88458380567266703</v>
      </c>
      <c r="C15">
        <v>4.4029956108216001E-2</v>
      </c>
    </row>
    <row r="16" spans="1:3" x14ac:dyDescent="0.2">
      <c r="A16">
        <v>3981.07177734375</v>
      </c>
      <c r="B16">
        <v>0.88613741598064599</v>
      </c>
      <c r="C16">
        <v>2.9008448208165599E-2</v>
      </c>
    </row>
    <row r="17" spans="1:3" x14ac:dyDescent="0.2">
      <c r="A17">
        <v>3162.27758789063</v>
      </c>
      <c r="B17">
        <v>0.88890941055748196</v>
      </c>
      <c r="C17">
        <v>1.4712989178888599E-2</v>
      </c>
    </row>
    <row r="18" spans="1:3" x14ac:dyDescent="0.2">
      <c r="A18">
        <v>2511.88647460938</v>
      </c>
      <c r="B18">
        <v>0.89299458723435998</v>
      </c>
      <c r="C18">
        <v>1.94089913616E-3</v>
      </c>
    </row>
    <row r="19" spans="1:3" x14ac:dyDescent="0.2">
      <c r="A19">
        <v>1995.26232910156</v>
      </c>
      <c r="B19">
        <v>0.89658770335925297</v>
      </c>
      <c r="C19">
        <v>-7.9226682777033593E-3</v>
      </c>
    </row>
    <row r="20" spans="1:3" x14ac:dyDescent="0.2">
      <c r="A20">
        <v>1584.89318847656</v>
      </c>
      <c r="B20">
        <v>0.90142980365110503</v>
      </c>
      <c r="C20">
        <v>-1.7749279841461799E-2</v>
      </c>
    </row>
    <row r="21" spans="1:3" x14ac:dyDescent="0.2">
      <c r="A21">
        <v>1258.92541503906</v>
      </c>
      <c r="B21">
        <v>0.906400176662989</v>
      </c>
      <c r="C21">
        <v>-2.66202584855692E-2</v>
      </c>
    </row>
    <row r="22" spans="1:3" x14ac:dyDescent="0.2">
      <c r="A22">
        <v>1000</v>
      </c>
      <c r="B22">
        <v>0.91208407230862298</v>
      </c>
      <c r="C22">
        <v>-3.5100000612963603E-2</v>
      </c>
    </row>
    <row r="23" spans="1:3" x14ac:dyDescent="0.2">
      <c r="A23">
        <v>794.32824707031295</v>
      </c>
      <c r="B23">
        <v>0.91906798873822504</v>
      </c>
      <c r="C23">
        <v>-4.2645391434246199E-2</v>
      </c>
    </row>
    <row r="24" spans="1:3" x14ac:dyDescent="0.2">
      <c r="A24">
        <v>630.95733642578102</v>
      </c>
      <c r="B24">
        <v>0.92677123313988397</v>
      </c>
      <c r="C24">
        <v>-5.0849002673094897E-2</v>
      </c>
    </row>
    <row r="25" spans="1:3" x14ac:dyDescent="0.2">
      <c r="A25">
        <v>501.18722534179699</v>
      </c>
      <c r="B25">
        <v>0.93479473048140804</v>
      </c>
      <c r="C25">
        <v>-5.7653297193210197E-2</v>
      </c>
    </row>
    <row r="26" spans="1:3" x14ac:dyDescent="0.2">
      <c r="A26">
        <v>398.107177734375</v>
      </c>
      <c r="B26">
        <v>0.94350995168745899</v>
      </c>
      <c r="C26">
        <v>-6.5421147576254404E-2</v>
      </c>
    </row>
    <row r="27" spans="1:3" x14ac:dyDescent="0.2">
      <c r="A27">
        <v>316.22775268554699</v>
      </c>
      <c r="B27">
        <v>0.95465244778583702</v>
      </c>
      <c r="C27">
        <v>-7.3229946237625895E-2</v>
      </c>
    </row>
    <row r="28" spans="1:3" x14ac:dyDescent="0.2">
      <c r="A28">
        <v>251.18864440918</v>
      </c>
      <c r="B28">
        <v>0.96513617450547595</v>
      </c>
      <c r="C28">
        <v>-8.0316461556575E-2</v>
      </c>
    </row>
    <row r="29" spans="1:3" x14ac:dyDescent="0.2">
      <c r="A29">
        <v>199.52622985839801</v>
      </c>
      <c r="B29">
        <v>0.97917934273597695</v>
      </c>
      <c r="C29">
        <v>-8.7899198756683394E-2</v>
      </c>
    </row>
    <row r="30" spans="1:3" x14ac:dyDescent="0.2">
      <c r="A30">
        <v>158.48931884765599</v>
      </c>
      <c r="B30">
        <v>0.99358930440690396</v>
      </c>
      <c r="C30">
        <v>-9.5478854869252797E-2</v>
      </c>
    </row>
    <row r="31" spans="1:3" x14ac:dyDescent="0.2">
      <c r="A31">
        <v>125.892539978027</v>
      </c>
      <c r="B31">
        <v>1.00708492594683</v>
      </c>
      <c r="C31">
        <v>-0.102367836592874</v>
      </c>
    </row>
    <row r="32" spans="1:3" x14ac:dyDescent="0.2">
      <c r="A32">
        <v>100</v>
      </c>
      <c r="B32">
        <v>1.02410057159639</v>
      </c>
      <c r="C32">
        <v>-0.109072259048576</v>
      </c>
    </row>
    <row r="33" spans="1:3" x14ac:dyDescent="0.2">
      <c r="A33">
        <v>79.432823181152301</v>
      </c>
      <c r="B33">
        <v>1.0404117864706199</v>
      </c>
      <c r="C33">
        <v>-0.115239569095917</v>
      </c>
    </row>
    <row r="34" spans="1:3" x14ac:dyDescent="0.2">
      <c r="A34">
        <v>63.095733642578097</v>
      </c>
      <c r="B34">
        <v>1.0559132180509101</v>
      </c>
      <c r="C34">
        <v>-0.121483961594109</v>
      </c>
    </row>
    <row r="35" spans="1:3" x14ac:dyDescent="0.2">
      <c r="A35">
        <v>50.118724822997997</v>
      </c>
      <c r="B35">
        <v>1.0775494298577899</v>
      </c>
      <c r="C35">
        <v>-0.12833146612242799</v>
      </c>
    </row>
    <row r="36" spans="1:3" x14ac:dyDescent="0.2">
      <c r="A36">
        <v>39.810718536377003</v>
      </c>
      <c r="B36">
        <v>1.1025300997244301</v>
      </c>
      <c r="C36">
        <v>-0.13250060635392599</v>
      </c>
    </row>
    <row r="37" spans="1:3" x14ac:dyDescent="0.2">
      <c r="A37">
        <v>31.622776031494102</v>
      </c>
      <c r="B37">
        <v>1.1193540462371601</v>
      </c>
      <c r="C37">
        <v>-0.141763838699349</v>
      </c>
    </row>
    <row r="38" spans="1:3" x14ac:dyDescent="0.2">
      <c r="A38">
        <v>25.1188640594482</v>
      </c>
      <c r="B38">
        <v>1.1354295564305901</v>
      </c>
      <c r="C38">
        <v>-0.143996269324624</v>
      </c>
    </row>
    <row r="39" spans="1:3" x14ac:dyDescent="0.2">
      <c r="A39">
        <v>19.952623367309599</v>
      </c>
      <c r="B39">
        <v>1.1668551879216</v>
      </c>
      <c r="C39">
        <v>-0.13721435503492799</v>
      </c>
    </row>
    <row r="40" spans="1:3" x14ac:dyDescent="0.2">
      <c r="A40">
        <v>15.8489322662354</v>
      </c>
      <c r="B40">
        <v>1.1799157474791599</v>
      </c>
      <c r="C40">
        <v>-0.15015598300906199</v>
      </c>
    </row>
    <row r="41" spans="1:3" x14ac:dyDescent="0.2">
      <c r="A41">
        <v>12.5892543792725</v>
      </c>
      <c r="B41">
        <v>1.20498823055598</v>
      </c>
      <c r="C41">
        <v>-0.14632444698304301</v>
      </c>
    </row>
    <row r="42" spans="1:3" x14ac:dyDescent="0.2">
      <c r="A42">
        <v>10</v>
      </c>
      <c r="B42">
        <v>1.2356608070602699</v>
      </c>
      <c r="C42">
        <v>-0.151647946036221</v>
      </c>
    </row>
    <row r="43" spans="1:3" x14ac:dyDescent="0.2">
      <c r="A43">
        <v>7.9432821273803702</v>
      </c>
      <c r="B43">
        <v>1.25914888522986</v>
      </c>
      <c r="C43">
        <v>-0.152356315756486</v>
      </c>
    </row>
    <row r="44" spans="1:3" x14ac:dyDescent="0.2">
      <c r="A44">
        <v>6.3095736503601101</v>
      </c>
      <c r="B44">
        <v>1.27969896369091</v>
      </c>
      <c r="C44">
        <v>-0.151384975428352</v>
      </c>
    </row>
    <row r="45" spans="1:3" x14ac:dyDescent="0.2">
      <c r="A45">
        <v>5.0118722915649396</v>
      </c>
      <c r="B45">
        <v>1.30740351189343</v>
      </c>
      <c r="C45">
        <v>-0.14931011130157201</v>
      </c>
    </row>
    <row r="46" spans="1:3" x14ac:dyDescent="0.2">
      <c r="A46">
        <v>3.9810717105865501</v>
      </c>
      <c r="B46">
        <v>1.3278443646683</v>
      </c>
      <c r="C46">
        <v>-0.144491438138725</v>
      </c>
    </row>
    <row r="47" spans="1:3" x14ac:dyDescent="0.2">
      <c r="A47">
        <v>3.1622776985168501</v>
      </c>
      <c r="B47">
        <v>1.34905356997746</v>
      </c>
      <c r="C47">
        <v>-0.14712106156935001</v>
      </c>
    </row>
    <row r="48" spans="1:3" x14ac:dyDescent="0.2">
      <c r="A48">
        <v>2.5118863582611102</v>
      </c>
      <c r="B48">
        <v>1.3693737403930899</v>
      </c>
      <c r="C48">
        <v>-0.14721120201482699</v>
      </c>
    </row>
    <row r="49" spans="1:3" x14ac:dyDescent="0.2">
      <c r="A49">
        <v>1.99526226520538</v>
      </c>
      <c r="B49">
        <v>1.39978308758792</v>
      </c>
      <c r="C49">
        <v>-0.14066790535660401</v>
      </c>
    </row>
    <row r="50" spans="1:3" x14ac:dyDescent="0.2">
      <c r="A50">
        <v>1.58489322662354</v>
      </c>
      <c r="B50">
        <v>1.42440289258983</v>
      </c>
      <c r="C50">
        <v>-0.13262606278174799</v>
      </c>
    </row>
    <row r="51" spans="1:3" x14ac:dyDescent="0.2">
      <c r="A51">
        <v>1.2589254379272501</v>
      </c>
      <c r="B51">
        <v>1.44515757984674</v>
      </c>
      <c r="C51">
        <v>-0.118704887804606</v>
      </c>
    </row>
    <row r="52" spans="1:3" x14ac:dyDescent="0.2">
      <c r="A52">
        <v>1</v>
      </c>
      <c r="B52">
        <v>1.46689144001794</v>
      </c>
      <c r="C52">
        <v>-0.111525909717525</v>
      </c>
    </row>
    <row r="53" spans="1:3" x14ac:dyDescent="0.2">
      <c r="A53">
        <v>0.794328212738037</v>
      </c>
      <c r="B53">
        <v>1.4776517444469</v>
      </c>
      <c r="C53">
        <v>-9.3664477252106401E-2</v>
      </c>
    </row>
    <row r="54" spans="1:3" x14ac:dyDescent="0.2">
      <c r="A54">
        <v>0.63095736503601096</v>
      </c>
      <c r="B54">
        <v>1.49692892146649</v>
      </c>
      <c r="C54">
        <v>-8.1136518810440206E-2</v>
      </c>
    </row>
    <row r="55" spans="1:3" x14ac:dyDescent="0.2">
      <c r="A55">
        <v>0.50118720531463601</v>
      </c>
      <c r="B55">
        <v>1.4988858192739301</v>
      </c>
      <c r="C55">
        <v>-6.8742721970204604E-2</v>
      </c>
    </row>
    <row r="56" spans="1:3" x14ac:dyDescent="0.2">
      <c r="A56">
        <v>0.39810717105865501</v>
      </c>
      <c r="B56">
        <v>1.5091864552093901</v>
      </c>
      <c r="C56">
        <v>-5.60198857607229E-2</v>
      </c>
    </row>
    <row r="57" spans="1:3" x14ac:dyDescent="0.2">
      <c r="A57">
        <v>0.31622776389121998</v>
      </c>
      <c r="B57">
        <v>1.5099777609865801</v>
      </c>
      <c r="C57">
        <v>-4.7825270502190903E-2</v>
      </c>
    </row>
    <row r="58" spans="1:3" x14ac:dyDescent="0.2">
      <c r="A58">
        <v>0.25118863582611101</v>
      </c>
      <c r="B58">
        <v>1.51245722228045</v>
      </c>
      <c r="C58">
        <v>-3.5136387116043701E-2</v>
      </c>
    </row>
    <row r="59" spans="1:3" x14ac:dyDescent="0.2">
      <c r="A59">
        <v>0.19952623546123499</v>
      </c>
      <c r="B59">
        <v>1.5075161686434999</v>
      </c>
      <c r="C59">
        <v>-2.9807634538480999E-2</v>
      </c>
    </row>
    <row r="60" spans="1:3" x14ac:dyDescent="0.2">
      <c r="A60">
        <v>0.15848931670188901</v>
      </c>
      <c r="B60">
        <v>1.50848788737118</v>
      </c>
      <c r="C60">
        <v>-2.3319209976025601E-2</v>
      </c>
    </row>
    <row r="61" spans="1:3" x14ac:dyDescent="0.2">
      <c r="A61">
        <v>0.125892534852028</v>
      </c>
      <c r="B61">
        <v>1.5023777542419401</v>
      </c>
      <c r="C61">
        <v>-1.0727244552722E-2</v>
      </c>
    </row>
    <row r="62" spans="1:3" x14ac:dyDescent="0.2">
      <c r="A62">
        <v>0.10000000149011599</v>
      </c>
      <c r="B62">
        <v>1.50510222663974</v>
      </c>
      <c r="C62">
        <v>-1.2457271329846999E-2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DA07-FDB4-455B-B576-2AF843849FF7}">
  <sheetPr>
    <tabColor rgb="FFFFC000"/>
  </sheetPr>
  <dimension ref="A1:C62"/>
  <sheetViews>
    <sheetView workbookViewId="0">
      <selection sqref="A1:C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100000</v>
      </c>
      <c r="B2">
        <v>1.27781969444223</v>
      </c>
      <c r="C2">
        <v>1.24185234335026</v>
      </c>
    </row>
    <row r="3" spans="1:3" x14ac:dyDescent="0.2">
      <c r="A3">
        <v>79432.8203125</v>
      </c>
      <c r="B3">
        <v>1.0016569260327099</v>
      </c>
      <c r="C3">
        <v>1.02257566220383</v>
      </c>
    </row>
    <row r="4" spans="1:3" x14ac:dyDescent="0.2">
      <c r="A4">
        <v>63095.734375</v>
      </c>
      <c r="B4">
        <v>1.0247163212300701</v>
      </c>
      <c r="C4">
        <v>0.813273756759197</v>
      </c>
    </row>
    <row r="5" spans="1:3" x14ac:dyDescent="0.2">
      <c r="A5">
        <v>50118.72265625</v>
      </c>
      <c r="B5">
        <v>1.0252613736616201</v>
      </c>
      <c r="C5">
        <v>0.64338906061372703</v>
      </c>
    </row>
    <row r="6" spans="1:3" x14ac:dyDescent="0.2">
      <c r="A6">
        <v>39810.71875</v>
      </c>
      <c r="B6">
        <v>1.0259984772083901</v>
      </c>
      <c r="C6">
        <v>0.50956313643976703</v>
      </c>
    </row>
    <row r="7" spans="1:3" x14ac:dyDescent="0.2">
      <c r="A7">
        <v>31622.77734375</v>
      </c>
      <c r="B7">
        <v>1.0292971062698599</v>
      </c>
      <c r="C7">
        <v>0.40232607351863903</v>
      </c>
    </row>
    <row r="8" spans="1:3" x14ac:dyDescent="0.2">
      <c r="A8">
        <v>25118.865234375</v>
      </c>
      <c r="B8">
        <v>1.02942664342743</v>
      </c>
      <c r="C8">
        <v>0.31630875463608299</v>
      </c>
    </row>
    <row r="9" spans="1:3" x14ac:dyDescent="0.2">
      <c r="A9">
        <v>19952.623046875</v>
      </c>
      <c r="B9">
        <v>1.02989300272739</v>
      </c>
      <c r="C9">
        <v>0.247519417094582</v>
      </c>
    </row>
    <row r="10" spans="1:3" x14ac:dyDescent="0.2">
      <c r="A10">
        <v>15848.931640625</v>
      </c>
      <c r="B10">
        <v>1.0305486477277099</v>
      </c>
      <c r="C10">
        <v>0.195337454926233</v>
      </c>
    </row>
    <row r="11" spans="1:3" x14ac:dyDescent="0.2">
      <c r="A11">
        <v>12589.25390625</v>
      </c>
      <c r="B11">
        <v>1.0313113013241699</v>
      </c>
      <c r="C11">
        <v>0.15519578406995299</v>
      </c>
    </row>
    <row r="12" spans="1:3" x14ac:dyDescent="0.2">
      <c r="A12">
        <v>10000</v>
      </c>
      <c r="B12">
        <v>1.0334133075432199</v>
      </c>
      <c r="C12">
        <v>0.120325885563552</v>
      </c>
    </row>
    <row r="13" spans="1:3" x14ac:dyDescent="0.2">
      <c r="A13">
        <v>7943.2822265625</v>
      </c>
      <c r="B13">
        <v>1.03647926893915</v>
      </c>
      <c r="C13">
        <v>8.8148963705464697E-2</v>
      </c>
    </row>
    <row r="14" spans="1:3" x14ac:dyDescent="0.2">
      <c r="A14">
        <v>6309.5732421875</v>
      </c>
      <c r="B14">
        <v>1.0369612560885599</v>
      </c>
      <c r="C14">
        <v>6.3744688677794606E-2</v>
      </c>
    </row>
    <row r="15" spans="1:3" x14ac:dyDescent="0.2">
      <c r="A15">
        <v>5011.87255859375</v>
      </c>
      <c r="B15">
        <v>1.0406771182214101</v>
      </c>
      <c r="C15">
        <v>4.3751679920446498E-2</v>
      </c>
    </row>
    <row r="16" spans="1:3" x14ac:dyDescent="0.2">
      <c r="A16">
        <v>3981.07177734375</v>
      </c>
      <c r="B16">
        <v>1.04299384154857</v>
      </c>
      <c r="C16">
        <v>2.79696056001148E-2</v>
      </c>
    </row>
    <row r="17" spans="1:3" x14ac:dyDescent="0.2">
      <c r="A17">
        <v>3162.27758789063</v>
      </c>
      <c r="B17">
        <v>1.04797910828709</v>
      </c>
      <c r="C17">
        <v>1.5657569132096101E-2</v>
      </c>
    </row>
    <row r="18" spans="1:3" x14ac:dyDescent="0.2">
      <c r="A18">
        <v>2511.88647460938</v>
      </c>
      <c r="B18">
        <v>1.0522720178146401</v>
      </c>
      <c r="C18">
        <v>-1.49106334386379E-3</v>
      </c>
    </row>
    <row r="19" spans="1:3" x14ac:dyDescent="0.2">
      <c r="A19">
        <v>1995.26232910156</v>
      </c>
      <c r="B19">
        <v>1.05409159741755</v>
      </c>
      <c r="C19">
        <v>-1.14817213754171E-2</v>
      </c>
    </row>
    <row r="20" spans="1:3" x14ac:dyDescent="0.2">
      <c r="A20">
        <v>1584.89318847656</v>
      </c>
      <c r="B20">
        <v>1.05928718551763</v>
      </c>
      <c r="C20">
        <v>-2.2815479367603302E-2</v>
      </c>
    </row>
    <row r="21" spans="1:3" x14ac:dyDescent="0.2">
      <c r="A21">
        <v>1258.92541503906</v>
      </c>
      <c r="B21">
        <v>1.06504701824255</v>
      </c>
      <c r="C21">
        <v>-3.3251925138743497E-2</v>
      </c>
    </row>
    <row r="22" spans="1:3" x14ac:dyDescent="0.2">
      <c r="A22">
        <v>1000</v>
      </c>
      <c r="B22">
        <v>1.07158688606746</v>
      </c>
      <c r="C22">
        <v>-4.25147019934555E-2</v>
      </c>
    </row>
    <row r="23" spans="1:3" x14ac:dyDescent="0.2">
      <c r="A23">
        <v>794.32824707031295</v>
      </c>
      <c r="B23">
        <v>1.0791788778940501</v>
      </c>
      <c r="C23">
        <v>-5.1889949115748499E-2</v>
      </c>
    </row>
    <row r="24" spans="1:3" x14ac:dyDescent="0.2">
      <c r="A24">
        <v>630.95733642578102</v>
      </c>
      <c r="B24">
        <v>1.08853757729794</v>
      </c>
      <c r="C24">
        <v>-6.1204831272588502E-2</v>
      </c>
    </row>
    <row r="25" spans="1:3" x14ac:dyDescent="0.2">
      <c r="A25">
        <v>501.18722534179699</v>
      </c>
      <c r="B25">
        <v>1.0976016766154599</v>
      </c>
      <c r="C25">
        <v>-7.0221054927389503E-2</v>
      </c>
    </row>
    <row r="26" spans="1:3" x14ac:dyDescent="0.2">
      <c r="A26">
        <v>398.107177734375</v>
      </c>
      <c r="B26">
        <v>1.1090104636160301</v>
      </c>
      <c r="C26">
        <v>-7.9471023150886999E-2</v>
      </c>
    </row>
    <row r="27" spans="1:3" x14ac:dyDescent="0.2">
      <c r="A27">
        <v>316.22775268554699</v>
      </c>
      <c r="B27">
        <v>1.12279036025134</v>
      </c>
      <c r="C27">
        <v>-8.8222812705918502E-2</v>
      </c>
    </row>
    <row r="28" spans="1:3" x14ac:dyDescent="0.2">
      <c r="A28">
        <v>251.18864440918</v>
      </c>
      <c r="B28">
        <v>1.1361827121388199</v>
      </c>
      <c r="C28">
        <v>-9.6763565313383801E-2</v>
      </c>
    </row>
    <row r="29" spans="1:3" x14ac:dyDescent="0.2">
      <c r="A29">
        <v>199.52622985839801</v>
      </c>
      <c r="B29">
        <v>1.1527857389149501</v>
      </c>
      <c r="C29">
        <v>-0.10620880784143499</v>
      </c>
    </row>
    <row r="30" spans="1:3" x14ac:dyDescent="0.2">
      <c r="A30">
        <v>158.48931884765599</v>
      </c>
      <c r="B30">
        <v>1.17093706597114</v>
      </c>
      <c r="C30">
        <v>-0.11494069227579801</v>
      </c>
    </row>
    <row r="31" spans="1:3" x14ac:dyDescent="0.2">
      <c r="A31">
        <v>125.892539978027</v>
      </c>
      <c r="B31">
        <v>1.18887245030792</v>
      </c>
      <c r="C31">
        <v>-0.120317955262537</v>
      </c>
    </row>
    <row r="32" spans="1:3" x14ac:dyDescent="0.2">
      <c r="A32">
        <v>100</v>
      </c>
      <c r="B32">
        <v>1.21173884450326</v>
      </c>
      <c r="C32">
        <v>-0.127478150348039</v>
      </c>
    </row>
    <row r="33" spans="1:3" x14ac:dyDescent="0.2">
      <c r="A33">
        <v>79.432823181152301</v>
      </c>
      <c r="B33">
        <v>1.2303468594898299</v>
      </c>
      <c r="C33">
        <v>-0.1336382569466</v>
      </c>
    </row>
    <row r="34" spans="1:3" x14ac:dyDescent="0.2">
      <c r="A34">
        <v>63.095733642578097</v>
      </c>
      <c r="B34">
        <v>1.2505482044002201</v>
      </c>
      <c r="C34">
        <v>-0.13909782033665599</v>
      </c>
    </row>
    <row r="35" spans="1:3" x14ac:dyDescent="0.2">
      <c r="A35">
        <v>50.118724822997997</v>
      </c>
      <c r="B35">
        <v>1.27756340130627</v>
      </c>
      <c r="C35">
        <v>-0.14660517252777799</v>
      </c>
    </row>
    <row r="36" spans="1:3" x14ac:dyDescent="0.2">
      <c r="A36">
        <v>39.810718536377003</v>
      </c>
      <c r="B36">
        <v>1.29544941758416</v>
      </c>
      <c r="C36">
        <v>-0.147896603383259</v>
      </c>
    </row>
    <row r="37" spans="1:3" x14ac:dyDescent="0.2">
      <c r="A37">
        <v>31.622776031494102</v>
      </c>
      <c r="B37">
        <v>1.31651096414376</v>
      </c>
      <c r="C37">
        <v>-0.14757133198592801</v>
      </c>
    </row>
    <row r="38" spans="1:3" x14ac:dyDescent="0.2">
      <c r="A38">
        <v>25.1188640594482</v>
      </c>
      <c r="B38">
        <v>1.34463910464185</v>
      </c>
      <c r="C38">
        <v>-0.148142876136965</v>
      </c>
    </row>
    <row r="39" spans="1:3" x14ac:dyDescent="0.2">
      <c r="A39">
        <v>19.952623367309599</v>
      </c>
      <c r="B39">
        <v>1.36449288334341</v>
      </c>
      <c r="C39">
        <v>-0.16800058653932001</v>
      </c>
    </row>
    <row r="40" spans="1:3" x14ac:dyDescent="0.2">
      <c r="A40">
        <v>15.8489322662354</v>
      </c>
      <c r="B40">
        <v>1.39624414230259</v>
      </c>
      <c r="C40">
        <v>-0.16879271017873401</v>
      </c>
    </row>
    <row r="41" spans="1:3" x14ac:dyDescent="0.2">
      <c r="A41">
        <v>12.5892543792725</v>
      </c>
      <c r="B41">
        <v>1.41212297767045</v>
      </c>
      <c r="C41">
        <v>-0.17024593343289299</v>
      </c>
    </row>
    <row r="42" spans="1:3" x14ac:dyDescent="0.2">
      <c r="A42">
        <v>10</v>
      </c>
      <c r="B42">
        <v>1.44578017863084</v>
      </c>
      <c r="C42">
        <v>-0.16310146276301399</v>
      </c>
    </row>
    <row r="43" spans="1:3" x14ac:dyDescent="0.2">
      <c r="A43">
        <v>7.9432821273803702</v>
      </c>
      <c r="B43">
        <v>1.47044292040997</v>
      </c>
      <c r="C43">
        <v>-0.16810429397513299</v>
      </c>
    </row>
    <row r="44" spans="1:3" x14ac:dyDescent="0.2">
      <c r="A44">
        <v>6.3095736503601101</v>
      </c>
      <c r="B44">
        <v>1.499275823966</v>
      </c>
      <c r="C44">
        <v>-0.16267297104690401</v>
      </c>
    </row>
    <row r="45" spans="1:3" x14ac:dyDescent="0.2">
      <c r="A45">
        <v>5.0118722915649396</v>
      </c>
      <c r="B45">
        <v>1.5218485809003801</v>
      </c>
      <c r="C45">
        <v>-0.167471795402935</v>
      </c>
    </row>
    <row r="46" spans="1:3" x14ac:dyDescent="0.2">
      <c r="A46">
        <v>3.9810717105865501</v>
      </c>
      <c r="B46">
        <v>1.5525292128805701</v>
      </c>
      <c r="C46">
        <v>-0.16566397313747</v>
      </c>
    </row>
    <row r="47" spans="1:3" x14ac:dyDescent="0.2">
      <c r="A47">
        <v>3.1622776985168501</v>
      </c>
      <c r="B47">
        <v>1.5784189017702199</v>
      </c>
      <c r="C47">
        <v>-0.159858054376702</v>
      </c>
    </row>
    <row r="48" spans="1:3" x14ac:dyDescent="0.2">
      <c r="A48">
        <v>2.5118863582611102</v>
      </c>
      <c r="B48">
        <v>1.6069157196777399</v>
      </c>
      <c r="C48">
        <v>-0.15568633531186199</v>
      </c>
    </row>
    <row r="49" spans="1:3" x14ac:dyDescent="0.2">
      <c r="A49">
        <v>1.99526226520538</v>
      </c>
      <c r="B49">
        <v>1.6348956828207499</v>
      </c>
      <c r="C49">
        <v>-0.14552345051781601</v>
      </c>
    </row>
    <row r="50" spans="1:3" x14ac:dyDescent="0.2">
      <c r="A50">
        <v>1.58489322662354</v>
      </c>
      <c r="B50">
        <v>1.6561603503839299</v>
      </c>
      <c r="C50">
        <v>-0.14144501478267699</v>
      </c>
    </row>
    <row r="51" spans="1:3" x14ac:dyDescent="0.2">
      <c r="A51">
        <v>1.2589254379272501</v>
      </c>
      <c r="B51">
        <v>1.6847869657165899</v>
      </c>
      <c r="C51">
        <v>-0.12952018991047501</v>
      </c>
    </row>
    <row r="52" spans="1:3" x14ac:dyDescent="0.2">
      <c r="A52">
        <v>1</v>
      </c>
      <c r="B52">
        <v>1.6997507185245599</v>
      </c>
      <c r="C52">
        <v>-0.113020368681537</v>
      </c>
    </row>
    <row r="53" spans="1:3" x14ac:dyDescent="0.2">
      <c r="A53">
        <v>0.794328212738037</v>
      </c>
      <c r="B53">
        <v>1.72457873118868</v>
      </c>
      <c r="C53">
        <v>-9.8164276705650103E-2</v>
      </c>
    </row>
    <row r="54" spans="1:3" x14ac:dyDescent="0.2">
      <c r="A54">
        <v>0.63095736503601096</v>
      </c>
      <c r="B54">
        <v>1.74215120525595</v>
      </c>
      <c r="C54">
        <v>-8.5725783980485901E-2</v>
      </c>
    </row>
    <row r="55" spans="1:3" x14ac:dyDescent="0.2">
      <c r="A55">
        <v>0.50118720531463601</v>
      </c>
      <c r="B55">
        <v>1.7628836375714401</v>
      </c>
      <c r="C55">
        <v>-8.1838717924963403E-2</v>
      </c>
    </row>
    <row r="56" spans="1:3" x14ac:dyDescent="0.2">
      <c r="A56">
        <v>0.39810717105865501</v>
      </c>
      <c r="B56">
        <v>1.7657046543297901</v>
      </c>
      <c r="C56">
        <v>-6.21103330835832E-2</v>
      </c>
    </row>
    <row r="57" spans="1:3" x14ac:dyDescent="0.2">
      <c r="A57">
        <v>0.31622776389121998</v>
      </c>
      <c r="B57">
        <v>1.7751641351787699</v>
      </c>
      <c r="C57">
        <v>-5.1676618130392801E-2</v>
      </c>
    </row>
    <row r="58" spans="1:3" x14ac:dyDescent="0.2">
      <c r="A58">
        <v>0.25118863582611101</v>
      </c>
      <c r="B58">
        <v>1.7800085783872299</v>
      </c>
      <c r="C58">
        <v>-3.9831043030980701E-2</v>
      </c>
    </row>
    <row r="59" spans="1:3" x14ac:dyDescent="0.2">
      <c r="A59">
        <v>0.19952623546123499</v>
      </c>
      <c r="B59">
        <v>1.7914352783084599</v>
      </c>
      <c r="C59">
        <v>-3.4248299564582099E-2</v>
      </c>
    </row>
    <row r="60" spans="1:3" x14ac:dyDescent="0.2">
      <c r="A60">
        <v>0.15848931670188901</v>
      </c>
      <c r="B60">
        <v>1.80518101933664</v>
      </c>
      <c r="C60">
        <v>-1.7009714049253302E-2</v>
      </c>
    </row>
    <row r="61" spans="1:3" x14ac:dyDescent="0.2">
      <c r="A61">
        <v>0.125892534852028</v>
      </c>
      <c r="B61">
        <v>1.81162133907638</v>
      </c>
      <c r="C61">
        <v>-1.8547494653342302E-2</v>
      </c>
    </row>
    <row r="62" spans="1:3" x14ac:dyDescent="0.2">
      <c r="A62">
        <v>0.10000000149011599</v>
      </c>
      <c r="B62">
        <v>1.8222401491503999</v>
      </c>
      <c r="C62">
        <v>-1.63460358366205E-2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09EA-B724-4B4E-9F6B-D1DD207BEF54}">
  <sheetPr>
    <tabColor rgb="FFFFFF00"/>
  </sheetPr>
  <dimension ref="A1:C62"/>
  <sheetViews>
    <sheetView workbookViewId="0">
      <selection activeCell="H10" sqref="H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100000</v>
      </c>
      <c r="B2">
        <v>1.5600416563666599</v>
      </c>
      <c r="C2">
        <v>1.7338962506592299</v>
      </c>
    </row>
    <row r="3" spans="1:3" x14ac:dyDescent="0.2">
      <c r="A3">
        <v>79432.8203125</v>
      </c>
      <c r="B3">
        <v>1.2725287831858001</v>
      </c>
      <c r="C3">
        <v>1.0238806920334</v>
      </c>
    </row>
    <row r="4" spans="1:3" x14ac:dyDescent="0.2">
      <c r="A4">
        <v>63095.734375</v>
      </c>
      <c r="B4">
        <v>1.3033098712867901</v>
      </c>
      <c r="C4">
        <v>0.81029214414022399</v>
      </c>
    </row>
    <row r="5" spans="1:3" x14ac:dyDescent="0.2">
      <c r="A5">
        <v>50118.72265625</v>
      </c>
      <c r="B5">
        <v>1.30757871267584</v>
      </c>
      <c r="C5">
        <v>0.63990380769364497</v>
      </c>
    </row>
    <row r="6" spans="1:3" x14ac:dyDescent="0.2">
      <c r="A6">
        <v>39810.71875</v>
      </c>
      <c r="B6">
        <v>1.3035808645396501</v>
      </c>
      <c r="C6">
        <v>0.50927281750102604</v>
      </c>
    </row>
    <row r="7" spans="1:3" x14ac:dyDescent="0.2">
      <c r="A7">
        <v>31622.77734375</v>
      </c>
      <c r="B7">
        <v>1.30713171963844</v>
      </c>
      <c r="C7">
        <v>0.39899370190252298</v>
      </c>
    </row>
    <row r="8" spans="1:3" x14ac:dyDescent="0.2">
      <c r="A8">
        <v>25118.865234375</v>
      </c>
      <c r="B8">
        <v>1.3067234183359</v>
      </c>
      <c r="C8">
        <v>0.313842025602943</v>
      </c>
    </row>
    <row r="9" spans="1:3" x14ac:dyDescent="0.2">
      <c r="A9">
        <v>19952.623046875</v>
      </c>
      <c r="B9">
        <v>1.3084693496065001</v>
      </c>
      <c r="C9">
        <v>0.243381060074295</v>
      </c>
    </row>
    <row r="10" spans="1:3" x14ac:dyDescent="0.2">
      <c r="A10">
        <v>15848.931640625</v>
      </c>
      <c r="B10">
        <v>1.30720197362476</v>
      </c>
      <c r="C10">
        <v>0.192776411874447</v>
      </c>
    </row>
    <row r="11" spans="1:3" x14ac:dyDescent="0.2">
      <c r="A11">
        <v>12589.25390625</v>
      </c>
      <c r="B11">
        <v>1.3092770314787101</v>
      </c>
      <c r="C11">
        <v>0.148913784248141</v>
      </c>
    </row>
    <row r="12" spans="1:3" x14ac:dyDescent="0.2">
      <c r="A12">
        <v>10000</v>
      </c>
      <c r="B12">
        <v>1.31372951126923</v>
      </c>
      <c r="C12">
        <v>0.116406565546785</v>
      </c>
    </row>
    <row r="13" spans="1:3" x14ac:dyDescent="0.2">
      <c r="A13">
        <v>7943.2822265625</v>
      </c>
      <c r="B13">
        <v>1.31609280313451</v>
      </c>
      <c r="C13">
        <v>8.0639892442370201E-2</v>
      </c>
    </row>
    <row r="14" spans="1:3" x14ac:dyDescent="0.2">
      <c r="A14">
        <v>6309.5732421875</v>
      </c>
      <c r="B14">
        <v>1.3188879910348801</v>
      </c>
      <c r="C14">
        <v>5.9421130812136298E-2</v>
      </c>
    </row>
    <row r="15" spans="1:3" x14ac:dyDescent="0.2">
      <c r="A15">
        <v>5011.87255859375</v>
      </c>
      <c r="B15">
        <v>1.3252369367663801</v>
      </c>
      <c r="C15">
        <v>4.0639001893404601E-2</v>
      </c>
    </row>
    <row r="16" spans="1:3" x14ac:dyDescent="0.2">
      <c r="A16">
        <v>3981.07177734375</v>
      </c>
      <c r="B16">
        <v>1.3291537266267499</v>
      </c>
      <c r="C16">
        <v>1.7102134399032E-2</v>
      </c>
    </row>
    <row r="17" spans="1:3" x14ac:dyDescent="0.2">
      <c r="A17">
        <v>3162.27758789063</v>
      </c>
      <c r="B17">
        <v>1.3305116170736899</v>
      </c>
      <c r="C17">
        <v>2.4539620565985801E-3</v>
      </c>
    </row>
    <row r="18" spans="1:3" x14ac:dyDescent="0.2">
      <c r="A18">
        <v>2511.88647460938</v>
      </c>
      <c r="B18">
        <v>1.33548931590067</v>
      </c>
      <c r="C18">
        <v>-8.8045020949465407E-3</v>
      </c>
    </row>
    <row r="19" spans="1:3" x14ac:dyDescent="0.2">
      <c r="A19">
        <v>1995.26232910156</v>
      </c>
      <c r="B19">
        <v>1.33916109547354</v>
      </c>
      <c r="C19">
        <v>-2.5196823400123702E-2</v>
      </c>
    </row>
    <row r="20" spans="1:3" x14ac:dyDescent="0.2">
      <c r="A20">
        <v>1584.89318847656</v>
      </c>
      <c r="B20">
        <v>1.3460075273132599</v>
      </c>
      <c r="C20">
        <v>-3.86248038084979E-2</v>
      </c>
    </row>
    <row r="21" spans="1:3" x14ac:dyDescent="0.2">
      <c r="A21">
        <v>1258.92541503906</v>
      </c>
      <c r="B21">
        <v>1.35353500093979</v>
      </c>
      <c r="C21">
        <v>-5.1553893345626899E-2</v>
      </c>
    </row>
    <row r="22" spans="1:3" x14ac:dyDescent="0.2">
      <c r="A22">
        <v>1000</v>
      </c>
      <c r="B22">
        <v>1.3622306985733399</v>
      </c>
      <c r="C22">
        <v>-6.3632203828815306E-2</v>
      </c>
    </row>
    <row r="23" spans="1:3" x14ac:dyDescent="0.2">
      <c r="A23">
        <v>794.32824707031295</v>
      </c>
      <c r="B23">
        <v>1.37178445764942</v>
      </c>
      <c r="C23">
        <v>-7.6717244777693205E-2</v>
      </c>
    </row>
    <row r="24" spans="1:3" x14ac:dyDescent="0.2">
      <c r="A24">
        <v>630.95733642578102</v>
      </c>
      <c r="B24">
        <v>1.3837877984829901</v>
      </c>
      <c r="C24">
        <v>-9.1335165178799596E-2</v>
      </c>
    </row>
    <row r="25" spans="1:3" x14ac:dyDescent="0.2">
      <c r="A25">
        <v>501.18722534179699</v>
      </c>
      <c r="B25">
        <v>1.39582460202721</v>
      </c>
      <c r="C25">
        <v>-0.104422995232636</v>
      </c>
    </row>
    <row r="26" spans="1:3" x14ac:dyDescent="0.2">
      <c r="A26">
        <v>398.107177734375</v>
      </c>
      <c r="B26">
        <v>1.4118330596044499</v>
      </c>
      <c r="C26">
        <v>-0.11970758796115499</v>
      </c>
    </row>
    <row r="27" spans="1:3" x14ac:dyDescent="0.2">
      <c r="A27">
        <v>316.22775268554699</v>
      </c>
      <c r="B27">
        <v>1.4310044058470901</v>
      </c>
      <c r="C27">
        <v>-0.136482132319836</v>
      </c>
    </row>
    <row r="28" spans="1:3" x14ac:dyDescent="0.2">
      <c r="A28">
        <v>251.18864440918</v>
      </c>
      <c r="B28">
        <v>1.44982103937964</v>
      </c>
      <c r="C28">
        <v>-0.15180917705681399</v>
      </c>
    </row>
    <row r="29" spans="1:3" x14ac:dyDescent="0.2">
      <c r="A29">
        <v>199.52622985839801</v>
      </c>
      <c r="B29">
        <v>1.4735328665790901</v>
      </c>
      <c r="C29">
        <v>-0.17010993990669199</v>
      </c>
    </row>
    <row r="30" spans="1:3" x14ac:dyDescent="0.2">
      <c r="A30">
        <v>158.48931884765599</v>
      </c>
      <c r="B30">
        <v>1.50496770857778</v>
      </c>
      <c r="C30">
        <v>-0.18781802968512001</v>
      </c>
    </row>
    <row r="31" spans="1:3" x14ac:dyDescent="0.2">
      <c r="A31">
        <v>125.892539978027</v>
      </c>
      <c r="B31">
        <v>1.5328299685484099</v>
      </c>
      <c r="C31">
        <v>-0.20287615526356301</v>
      </c>
    </row>
    <row r="32" spans="1:3" x14ac:dyDescent="0.2">
      <c r="A32">
        <v>100</v>
      </c>
      <c r="B32">
        <v>1.5667255429471401</v>
      </c>
      <c r="C32">
        <v>-0.21875622045944201</v>
      </c>
    </row>
    <row r="33" spans="1:3" x14ac:dyDescent="0.2">
      <c r="A33">
        <v>79.432823181152301</v>
      </c>
      <c r="B33">
        <v>1.60384180948255</v>
      </c>
      <c r="C33">
        <v>-0.23241653870031301</v>
      </c>
    </row>
    <row r="34" spans="1:3" x14ac:dyDescent="0.2">
      <c r="A34">
        <v>63.095733642578097</v>
      </c>
      <c r="B34">
        <v>1.6397377314477799</v>
      </c>
      <c r="C34">
        <v>-0.24339605666804801</v>
      </c>
    </row>
    <row r="35" spans="1:3" x14ac:dyDescent="0.2">
      <c r="A35">
        <v>50.118724822997997</v>
      </c>
      <c r="B35">
        <v>1.68101247984788</v>
      </c>
      <c r="C35">
        <v>-0.253987467693361</v>
      </c>
    </row>
    <row r="36" spans="1:3" x14ac:dyDescent="0.2">
      <c r="A36">
        <v>39.810718536377003</v>
      </c>
      <c r="B36">
        <v>1.7277517453621101</v>
      </c>
      <c r="C36">
        <v>-0.26645898905853599</v>
      </c>
    </row>
    <row r="37" spans="1:3" x14ac:dyDescent="0.2">
      <c r="A37">
        <v>31.622776031494102</v>
      </c>
      <c r="B37">
        <v>1.7668971947129799</v>
      </c>
      <c r="C37">
        <v>-0.27080799963212099</v>
      </c>
    </row>
    <row r="38" spans="1:3" x14ac:dyDescent="0.2">
      <c r="A38">
        <v>25.1188640594482</v>
      </c>
      <c r="B38">
        <v>1.8094813056894901</v>
      </c>
      <c r="C38">
        <v>-0.27954998481125798</v>
      </c>
    </row>
    <row r="39" spans="1:3" x14ac:dyDescent="0.2">
      <c r="A39">
        <v>19.952623367309599</v>
      </c>
      <c r="B39">
        <v>1.84804741766628</v>
      </c>
      <c r="C39">
        <v>-0.28339489009881302</v>
      </c>
    </row>
    <row r="40" spans="1:3" x14ac:dyDescent="0.2">
      <c r="A40">
        <v>15.8489322662354</v>
      </c>
      <c r="B40">
        <v>1.89790974108871</v>
      </c>
      <c r="C40">
        <v>-0.28081139190101401</v>
      </c>
    </row>
    <row r="41" spans="1:3" x14ac:dyDescent="0.2">
      <c r="A41">
        <v>12.5892543792725</v>
      </c>
      <c r="B41">
        <v>1.9413563076306</v>
      </c>
      <c r="C41">
        <v>-0.28763160033277302</v>
      </c>
    </row>
    <row r="42" spans="1:3" x14ac:dyDescent="0.2">
      <c r="A42">
        <v>10</v>
      </c>
      <c r="B42">
        <v>1.9789971617769999</v>
      </c>
      <c r="C42">
        <v>-0.29160537635246098</v>
      </c>
    </row>
    <row r="43" spans="1:3" x14ac:dyDescent="0.2">
      <c r="A43">
        <v>7.9432821273803702</v>
      </c>
      <c r="B43">
        <v>2.0260796229411899</v>
      </c>
      <c r="C43">
        <v>-0.29051893303306298</v>
      </c>
    </row>
    <row r="44" spans="1:3" x14ac:dyDescent="0.2">
      <c r="A44">
        <v>6.3095736503601101</v>
      </c>
      <c r="B44">
        <v>2.07177240021303</v>
      </c>
      <c r="C44">
        <v>-0.293588151178444</v>
      </c>
    </row>
    <row r="45" spans="1:3" x14ac:dyDescent="0.2">
      <c r="A45">
        <v>5.0118722915649396</v>
      </c>
      <c r="B45">
        <v>2.1188874236954902</v>
      </c>
      <c r="C45">
        <v>-0.29352653730304801</v>
      </c>
    </row>
    <row r="46" spans="1:3" x14ac:dyDescent="0.2">
      <c r="A46">
        <v>3.9810717105865501</v>
      </c>
      <c r="B46">
        <v>2.1719490946953002</v>
      </c>
      <c r="C46">
        <v>-0.29661217780059701</v>
      </c>
    </row>
    <row r="47" spans="1:3" x14ac:dyDescent="0.2">
      <c r="A47">
        <v>3.1622776985168501</v>
      </c>
      <c r="B47">
        <v>2.2231730483752798</v>
      </c>
      <c r="C47">
        <v>-0.29269699786139702</v>
      </c>
    </row>
    <row r="48" spans="1:3" x14ac:dyDescent="0.2">
      <c r="A48">
        <v>2.5118863582611102</v>
      </c>
      <c r="B48">
        <v>2.2691667566688798</v>
      </c>
      <c r="C48">
        <v>-0.28544244343028002</v>
      </c>
    </row>
    <row r="49" spans="1:3" x14ac:dyDescent="0.2">
      <c r="A49">
        <v>1.99526226520538</v>
      </c>
      <c r="B49">
        <v>2.3214525449048402</v>
      </c>
      <c r="C49">
        <v>-0.276047683749859</v>
      </c>
    </row>
    <row r="50" spans="1:3" x14ac:dyDescent="0.2">
      <c r="A50">
        <v>1.58489322662354</v>
      </c>
      <c r="B50">
        <v>2.3686500250027298</v>
      </c>
      <c r="C50">
        <v>-0.25662877161189601</v>
      </c>
    </row>
    <row r="51" spans="1:3" x14ac:dyDescent="0.2">
      <c r="A51">
        <v>1.2589254379272501</v>
      </c>
      <c r="B51">
        <v>2.4237563533717101</v>
      </c>
      <c r="C51">
        <v>-0.24177067835902599</v>
      </c>
    </row>
    <row r="52" spans="1:3" x14ac:dyDescent="0.2">
      <c r="A52">
        <v>1</v>
      </c>
      <c r="B52">
        <v>2.4651128122099002</v>
      </c>
      <c r="C52">
        <v>-0.219702743023832</v>
      </c>
    </row>
    <row r="53" spans="1:3" x14ac:dyDescent="0.2">
      <c r="A53">
        <v>0.794328212738037</v>
      </c>
      <c r="B53">
        <v>2.5032061055550301</v>
      </c>
      <c r="C53">
        <v>-0.20631699949580001</v>
      </c>
    </row>
    <row r="54" spans="1:3" x14ac:dyDescent="0.2">
      <c r="A54">
        <v>0.63095736503601096</v>
      </c>
      <c r="B54">
        <v>2.5288633501930402</v>
      </c>
      <c r="C54">
        <v>-0.16839892384685301</v>
      </c>
    </row>
    <row r="55" spans="1:3" x14ac:dyDescent="0.2">
      <c r="A55">
        <v>0.50118720531463601</v>
      </c>
      <c r="B55">
        <v>2.5647456252944298</v>
      </c>
      <c r="C55">
        <v>-0.13496895435130499</v>
      </c>
    </row>
    <row r="56" spans="1:3" x14ac:dyDescent="0.2">
      <c r="A56">
        <v>0.39810717105865501</v>
      </c>
      <c r="B56">
        <v>2.57726021204628</v>
      </c>
      <c r="C56">
        <v>-0.11367370445307801</v>
      </c>
    </row>
    <row r="57" spans="1:3" x14ac:dyDescent="0.2">
      <c r="A57">
        <v>0.31622776389121998</v>
      </c>
      <c r="B57">
        <v>2.6049524306451399</v>
      </c>
      <c r="C57">
        <v>-9.3280712804752197E-2</v>
      </c>
    </row>
    <row r="58" spans="1:3" x14ac:dyDescent="0.2">
      <c r="A58">
        <v>0.25118863582611101</v>
      </c>
      <c r="B58">
        <v>2.6281719823818301</v>
      </c>
      <c r="C58">
        <v>-8.4150798245384295E-2</v>
      </c>
    </row>
    <row r="59" spans="1:3" x14ac:dyDescent="0.2">
      <c r="A59">
        <v>0.19952623546123499</v>
      </c>
      <c r="B59">
        <v>2.6528136553144401</v>
      </c>
      <c r="C59">
        <v>-7.1450986602891398E-2</v>
      </c>
    </row>
    <row r="60" spans="1:3" x14ac:dyDescent="0.2">
      <c r="A60">
        <v>0.15848931670188901</v>
      </c>
      <c r="B60">
        <v>2.6727571956337299</v>
      </c>
      <c r="C60">
        <v>-5.3622613682234997E-2</v>
      </c>
    </row>
    <row r="61" spans="1:3" x14ac:dyDescent="0.2">
      <c r="A61">
        <v>0.125892534852028</v>
      </c>
      <c r="B61">
        <v>2.6732466659842098</v>
      </c>
      <c r="C61">
        <v>-4.66868595658173E-2</v>
      </c>
    </row>
    <row r="62" spans="1:3" x14ac:dyDescent="0.2">
      <c r="A62">
        <v>0.10000000149011599</v>
      </c>
      <c r="B62">
        <v>2.7101386591219101</v>
      </c>
      <c r="C62">
        <v>-3.06918757220167E-2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RΩ汇总</vt:lpstr>
      <vt:lpstr>Rp汇总</vt:lpstr>
      <vt:lpstr>DRT汇总</vt:lpstr>
      <vt:lpstr>.txt的名称</vt:lpstr>
      <vt:lpstr>1A-600-EIS-1（举例）</vt:lpstr>
      <vt:lpstr>1A-600-EIS-2（举例）</vt:lpstr>
      <vt:lpstr>1A-650-EIS-1（举例）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k21889</cp:lastModifiedBy>
  <dcterms:created xsi:type="dcterms:W3CDTF">2015-06-05T18:19:34Z</dcterms:created>
  <dcterms:modified xsi:type="dcterms:W3CDTF">2026-05-19T04:05:11Z</dcterms:modified>
</cp:coreProperties>
</file>